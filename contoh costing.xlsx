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Apps\swmrf\"/>
    </mc:Choice>
  </mc:AlternateContent>
  <xr:revisionPtr revIDLastSave="0" documentId="8_{3CD86016-094C-4AC9-B8B2-DB99DF97B6F7}" xr6:coauthVersionLast="45" xr6:coauthVersionMax="45" xr10:uidLastSave="{00000000-0000-0000-0000-000000000000}"/>
  <bookViews>
    <workbookView xWindow="-108" yWindow="-108" windowWidth="23256" windowHeight="12456" xr2:uid="{C312373C-340E-40B5-AE6C-B6DD82F36FBC}"/>
  </bookViews>
  <sheets>
    <sheet name="LJP 20 - 15 JU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99" i="1" l="1"/>
  <c r="J98" i="1"/>
  <c r="H98" i="1"/>
  <c r="H100" i="1" s="1"/>
  <c r="K94" i="1"/>
  <c r="F92" i="1"/>
  <c r="J91" i="1"/>
  <c r="J89" i="1"/>
  <c r="G89" i="1"/>
  <c r="D89" i="1"/>
  <c r="J88" i="1"/>
  <c r="G88" i="1"/>
  <c r="D88" i="1"/>
  <c r="H87" i="1"/>
  <c r="F87" i="1"/>
  <c r="G65" i="1" s="1"/>
  <c r="H86" i="1"/>
  <c r="J86" i="1" s="1"/>
  <c r="G86" i="1"/>
  <c r="J85" i="1"/>
  <c r="J84" i="1"/>
  <c r="G84" i="1"/>
  <c r="J83" i="1"/>
  <c r="G83" i="1"/>
  <c r="J82" i="1"/>
  <c r="H81" i="1"/>
  <c r="J81" i="1" s="1"/>
  <c r="G81" i="1"/>
  <c r="J80" i="1"/>
  <c r="G80" i="1"/>
  <c r="H79" i="1"/>
  <c r="J79" i="1" s="1"/>
  <c r="J78" i="1"/>
  <c r="G78" i="1"/>
  <c r="J77" i="1"/>
  <c r="G77" i="1"/>
  <c r="J76" i="1"/>
  <c r="J75" i="1"/>
  <c r="G75" i="1"/>
  <c r="J74" i="1"/>
  <c r="G74" i="1"/>
  <c r="J73" i="1"/>
  <c r="J72" i="1"/>
  <c r="G72" i="1"/>
  <c r="J71" i="1"/>
  <c r="G71" i="1"/>
  <c r="J70" i="1"/>
  <c r="J69" i="1"/>
  <c r="G69" i="1"/>
  <c r="J68" i="1"/>
  <c r="G68" i="1"/>
  <c r="J67" i="1"/>
  <c r="J66" i="1"/>
  <c r="G66" i="1"/>
  <c r="H65" i="1"/>
  <c r="J65" i="1" s="1"/>
  <c r="H64" i="1"/>
  <c r="J64" i="1" s="1"/>
  <c r="G64" i="1"/>
  <c r="J63" i="1"/>
  <c r="G63" i="1"/>
  <c r="J62" i="1"/>
  <c r="J61" i="1"/>
  <c r="G61" i="1"/>
  <c r="J60" i="1"/>
  <c r="G60" i="1"/>
  <c r="J59" i="1"/>
  <c r="J58" i="1"/>
  <c r="G58" i="1"/>
  <c r="J57" i="1"/>
  <c r="G57" i="1"/>
  <c r="J56" i="1"/>
  <c r="J55" i="1"/>
  <c r="G55" i="1"/>
  <c r="J54" i="1"/>
  <c r="G54" i="1"/>
  <c r="J53" i="1"/>
  <c r="J52" i="1"/>
  <c r="G52" i="1"/>
  <c r="J51" i="1"/>
  <c r="G51" i="1"/>
  <c r="J50" i="1"/>
  <c r="J49" i="1"/>
  <c r="G49" i="1"/>
  <c r="J48" i="1"/>
  <c r="G48" i="1"/>
  <c r="J47" i="1"/>
  <c r="J46" i="1"/>
  <c r="G46" i="1"/>
  <c r="J45" i="1"/>
  <c r="J44" i="1"/>
  <c r="H43" i="1"/>
  <c r="J43" i="1" s="1"/>
  <c r="G43" i="1"/>
  <c r="J42" i="1"/>
  <c r="J41" i="1"/>
  <c r="G41" i="1"/>
  <c r="J40" i="1"/>
  <c r="G40" i="1"/>
  <c r="J39" i="1"/>
  <c r="J38" i="1"/>
  <c r="G38" i="1"/>
  <c r="J37" i="1"/>
  <c r="H36" i="1"/>
  <c r="J36" i="1" s="1"/>
  <c r="G36" i="1"/>
  <c r="H35" i="1"/>
  <c r="J35" i="1" s="1"/>
  <c r="G35" i="1"/>
  <c r="H34" i="1"/>
  <c r="J34" i="1" s="1"/>
  <c r="G34" i="1"/>
  <c r="H33" i="1"/>
  <c r="J33" i="1" s="1"/>
  <c r="G33" i="1"/>
  <c r="H32" i="1"/>
  <c r="J32" i="1" s="1"/>
  <c r="H31" i="1"/>
  <c r="J31" i="1" s="1"/>
  <c r="G31" i="1"/>
  <c r="J30" i="1"/>
  <c r="H29" i="1"/>
  <c r="J29" i="1" s="1"/>
  <c r="G29" i="1"/>
  <c r="J28" i="1"/>
  <c r="J27" i="1"/>
  <c r="G27" i="1"/>
  <c r="J26" i="1"/>
  <c r="G26" i="1"/>
  <c r="J25" i="1"/>
  <c r="J24" i="1"/>
  <c r="G24" i="1"/>
  <c r="H23" i="1"/>
  <c r="J23" i="1" s="1"/>
  <c r="G23" i="1"/>
  <c r="H22" i="1"/>
  <c r="J22" i="1" s="1"/>
  <c r="G22" i="1"/>
  <c r="A22" i="1"/>
  <c r="J21" i="1"/>
  <c r="H21" i="1"/>
  <c r="G21" i="1"/>
  <c r="H20" i="1"/>
  <c r="J20" i="1" s="1"/>
  <c r="G20" i="1"/>
  <c r="H19" i="1"/>
  <c r="J19" i="1" s="1"/>
  <c r="G19" i="1"/>
  <c r="H18" i="1"/>
  <c r="J18" i="1" s="1"/>
  <c r="H17" i="1"/>
  <c r="J17" i="1" s="1"/>
  <c r="G17" i="1"/>
  <c r="H16" i="1"/>
  <c r="J16" i="1" s="1"/>
  <c r="H15" i="1"/>
  <c r="J15" i="1" s="1"/>
  <c r="G15" i="1"/>
  <c r="J14" i="1"/>
  <c r="J13" i="1"/>
  <c r="G13" i="1"/>
  <c r="J12" i="1"/>
  <c r="G12" i="1"/>
  <c r="J11" i="1"/>
  <c r="H11" i="1"/>
  <c r="H10" i="1"/>
  <c r="J10" i="1" s="1"/>
  <c r="G10" i="1"/>
  <c r="A10" i="1"/>
  <c r="A11" i="1" s="1"/>
  <c r="A16" i="1" s="1"/>
  <c r="A18" i="1" s="1"/>
  <c r="A21" i="1" s="1"/>
  <c r="A23" i="1" s="1"/>
  <c r="A28" i="1" s="1"/>
  <c r="A29" i="1" s="1"/>
  <c r="A31" i="1" s="1"/>
  <c r="A32" i="1" s="1"/>
  <c r="A33" i="1" s="1"/>
  <c r="A35" i="1" s="1"/>
  <c r="A40" i="1" s="1"/>
  <c r="A41" i="1" s="1"/>
  <c r="A43" i="1" s="1"/>
  <c r="A46" i="1" s="1"/>
  <c r="A12" i="1" s="1"/>
  <c r="A47" i="1" s="1"/>
  <c r="A52" i="1" s="1"/>
  <c r="J9" i="1"/>
  <c r="H9" i="1"/>
  <c r="A9" i="1"/>
  <c r="H8" i="1"/>
  <c r="J8" i="1" s="1"/>
  <c r="G8" i="1"/>
  <c r="H7" i="1"/>
  <c r="J7" i="1" s="1"/>
  <c r="A7" i="1"/>
  <c r="H6" i="1"/>
  <c r="J6" i="1" s="1"/>
  <c r="G6" i="1"/>
  <c r="L4" i="1"/>
  <c r="L45" i="1" l="1"/>
  <c r="K45" i="1" s="1"/>
  <c r="L23" i="1"/>
  <c r="K23" i="1" s="1"/>
  <c r="L88" i="1"/>
  <c r="K88" i="1" s="1"/>
  <c r="J87" i="1"/>
  <c r="J90" i="1" s="1"/>
  <c r="L6" i="1"/>
  <c r="K6" i="1" s="1"/>
  <c r="L13" i="1"/>
  <c r="K13" i="1" s="1"/>
  <c r="L21" i="1"/>
  <c r="K21" i="1" s="1"/>
  <c r="L54" i="1"/>
  <c r="K54" i="1" s="1"/>
  <c r="L67" i="1"/>
  <c r="K67" i="1" s="1"/>
  <c r="L72" i="1"/>
  <c r="K72" i="1" s="1"/>
  <c r="L20" i="1"/>
  <c r="K20" i="1" s="1"/>
  <c r="L73" i="1"/>
  <c r="K73" i="1" s="1"/>
  <c r="L55" i="1"/>
  <c r="K55" i="1" s="1"/>
  <c r="L75" i="1"/>
  <c r="K75" i="1" s="1"/>
  <c r="L89" i="1"/>
  <c r="K89" i="1" s="1"/>
  <c r="L26" i="1"/>
  <c r="K26" i="1" s="1"/>
  <c r="A15" i="1"/>
  <c r="A17" i="1" s="1"/>
  <c r="L12" i="1"/>
  <c r="K12" i="1" s="1"/>
  <c r="L33" i="1"/>
  <c r="K33" i="1" s="1"/>
  <c r="L48" i="1"/>
  <c r="K48" i="1" s="1"/>
  <c r="L58" i="1"/>
  <c r="K58" i="1" s="1"/>
  <c r="L44" i="1"/>
  <c r="K44" i="1" s="1"/>
  <c r="L64" i="1"/>
  <c r="K64" i="1" s="1"/>
  <c r="L84" i="1"/>
  <c r="K84" i="1" s="1"/>
  <c r="G39" i="1"/>
  <c r="G44" i="1"/>
  <c r="G32" i="1"/>
  <c r="G67" i="1"/>
  <c r="G73" i="1"/>
  <c r="G76" i="1"/>
  <c r="G87" i="1"/>
  <c r="G7" i="1"/>
  <c r="G16" i="1"/>
  <c r="G18" i="1"/>
  <c r="G30" i="1"/>
  <c r="G42" i="1"/>
  <c r="G47" i="1"/>
  <c r="G50" i="1"/>
  <c r="G11" i="1"/>
  <c r="G82" i="1"/>
  <c r="G85" i="1"/>
  <c r="G9" i="1"/>
  <c r="G70" i="1"/>
  <c r="G79" i="1"/>
  <c r="G14" i="1"/>
  <c r="G25" i="1"/>
  <c r="G53" i="1"/>
  <c r="G56" i="1"/>
  <c r="G59" i="1"/>
  <c r="G62" i="1"/>
  <c r="G28" i="1"/>
  <c r="G37" i="1"/>
  <c r="G45" i="1"/>
  <c r="L9" i="1" l="1"/>
  <c r="K9" i="1" s="1"/>
  <c r="L53" i="1"/>
  <c r="K53" i="1" s="1"/>
  <c r="L82" i="1"/>
  <c r="K82" i="1" s="1"/>
  <c r="L25" i="1"/>
  <c r="K25" i="1" s="1"/>
  <c r="L74" i="1"/>
  <c r="K74" i="1" s="1"/>
  <c r="L59" i="1"/>
  <c r="K59" i="1" s="1"/>
  <c r="L56" i="1"/>
  <c r="K56" i="1" s="1"/>
  <c r="L14" i="1"/>
  <c r="K14" i="1" s="1"/>
  <c r="L62" i="1"/>
  <c r="K62" i="1" s="1"/>
  <c r="L47" i="1"/>
  <c r="K47" i="1" s="1"/>
  <c r="L42" i="1"/>
  <c r="K42" i="1" s="1"/>
  <c r="L11" i="1"/>
  <c r="K11" i="1" s="1"/>
  <c r="J92" i="1"/>
  <c r="L85" i="1"/>
  <c r="K85" i="1" s="1"/>
  <c r="L50" i="1"/>
  <c r="K50" i="1" s="1"/>
  <c r="L30" i="1"/>
  <c r="K30" i="1" s="1"/>
  <c r="L34" i="1"/>
  <c r="K34" i="1" s="1"/>
  <c r="L49" i="1"/>
  <c r="K49" i="1" s="1"/>
  <c r="L16" i="1"/>
  <c r="K16" i="1" s="1"/>
  <c r="L29" i="1"/>
  <c r="K29" i="1" s="1"/>
  <c r="L17" i="1"/>
  <c r="K17" i="1" s="1"/>
  <c r="L65" i="1"/>
  <c r="K65" i="1" s="1"/>
  <c r="L35" i="1"/>
  <c r="K35" i="1" s="1"/>
  <c r="L76" i="1"/>
  <c r="K76" i="1" s="1"/>
  <c r="L18" i="1"/>
  <c r="K18" i="1" s="1"/>
  <c r="L8" i="1"/>
  <c r="K8" i="1" s="1"/>
  <c r="L39" i="1"/>
  <c r="K39" i="1" s="1"/>
  <c r="L57" i="1"/>
  <c r="K57" i="1" s="1"/>
  <c r="L70" i="1"/>
  <c r="K70" i="1" s="1"/>
  <c r="L66" i="1"/>
  <c r="K66" i="1" s="1"/>
  <c r="L77" i="1"/>
  <c r="K77" i="1" s="1"/>
  <c r="L15" i="1"/>
  <c r="K15" i="1" s="1"/>
  <c r="L46" i="1"/>
  <c r="K46" i="1" s="1"/>
  <c r="L40" i="1"/>
  <c r="K40" i="1" s="1"/>
  <c r="L41" i="1"/>
  <c r="K41" i="1" s="1"/>
  <c r="L36" i="1"/>
  <c r="K36" i="1" s="1"/>
  <c r="L7" i="1"/>
  <c r="K7" i="1" s="1"/>
  <c r="L43" i="1"/>
  <c r="K43" i="1" s="1"/>
  <c r="L27" i="1"/>
  <c r="K27" i="1" s="1"/>
  <c r="L38" i="1"/>
  <c r="K38" i="1" s="1"/>
  <c r="L86" i="1"/>
  <c r="K86" i="1" s="1"/>
  <c r="L19" i="1"/>
  <c r="K19" i="1" s="1"/>
  <c r="L24" i="1"/>
  <c r="K24" i="1" s="1"/>
  <c r="L61" i="1"/>
  <c r="K61" i="1" s="1"/>
  <c r="L52" i="1"/>
  <c r="K52" i="1" s="1"/>
  <c r="L31" i="1"/>
  <c r="K31" i="1" s="1"/>
  <c r="L28" i="1"/>
  <c r="K28" i="1" s="1"/>
  <c r="L68" i="1"/>
  <c r="K68" i="1" s="1"/>
  <c r="L83" i="1"/>
  <c r="K83" i="1" s="1"/>
  <c r="L51" i="1"/>
  <c r="K51" i="1" s="1"/>
  <c r="L81" i="1"/>
  <c r="K81" i="1" s="1"/>
  <c r="L79" i="1"/>
  <c r="K79" i="1" s="1"/>
  <c r="L78" i="1"/>
  <c r="K78" i="1" s="1"/>
  <c r="L22" i="1"/>
  <c r="K22" i="1" s="1"/>
  <c r="L80" i="1"/>
  <c r="K80" i="1" s="1"/>
  <c r="L60" i="1"/>
  <c r="K60" i="1" s="1"/>
  <c r="L71" i="1"/>
  <c r="K71" i="1" s="1"/>
  <c r="L37" i="1"/>
  <c r="K37" i="1" s="1"/>
  <c r="L63" i="1"/>
  <c r="K63" i="1" s="1"/>
  <c r="L94" i="1"/>
  <c r="L69" i="1"/>
  <c r="K69" i="1" s="1"/>
  <c r="L32" i="1"/>
  <c r="K32" i="1" s="1"/>
  <c r="L10" i="1"/>
  <c r="K10" i="1" s="1"/>
  <c r="K95" i="1" l="1"/>
  <c r="L95" i="1" s="1"/>
  <c r="J93" i="1"/>
  <c r="J95" i="1" s="1"/>
  <c r="L92" i="1"/>
</calcChain>
</file>

<file path=xl/sharedStrings.xml><?xml version="1.0" encoding="utf-8"?>
<sst xmlns="http://schemas.openxmlformats.org/spreadsheetml/2006/main" count="159" uniqueCount="123">
  <si>
    <t>SUPPLIER :  LJP ( 20 EKOR  )</t>
  </si>
  <si>
    <t>Tanggal potong</t>
  </si>
  <si>
    <t>COSTING master form</t>
  </si>
  <si>
    <t>KILL date :</t>
  </si>
  <si>
    <t>Tangal bonning</t>
  </si>
  <si>
    <t>Note: Please do any adjustment in Blue Color Cells only</t>
  </si>
  <si>
    <t>Boning date :</t>
  </si>
  <si>
    <t>NO.</t>
  </si>
  <si>
    <t>PRODUCTS</t>
  </si>
  <si>
    <t>QTY</t>
  </si>
  <si>
    <t>ACTUAL</t>
  </si>
  <si>
    <t>NET PRICE</t>
  </si>
  <si>
    <t>GROSS PRICE</t>
  </si>
  <si>
    <t>TOTAL PRICE</t>
  </si>
  <si>
    <t>BUYING PRICE</t>
  </si>
  <si>
    <t>TOTAL BUYING PRICE</t>
  </si>
  <si>
    <t>Topside</t>
  </si>
  <si>
    <t>Outside</t>
  </si>
  <si>
    <t>Silverside</t>
  </si>
  <si>
    <t>Gandik</t>
  </si>
  <si>
    <t>Knuckle</t>
  </si>
  <si>
    <t>Tenderloin</t>
  </si>
  <si>
    <t xml:space="preserve">Intercostal </t>
  </si>
  <si>
    <t>Tenderloin butt</t>
  </si>
  <si>
    <t>tenderloin Strap</t>
  </si>
  <si>
    <t>tenderloin Tail / Tip</t>
  </si>
  <si>
    <t>Tenderloin TS</t>
  </si>
  <si>
    <t>Striploin Whl</t>
  </si>
  <si>
    <t>Striploin cut</t>
  </si>
  <si>
    <t>Striploin cut TS</t>
  </si>
  <si>
    <t>Striploin Cut</t>
  </si>
  <si>
    <t>Striploin Whole</t>
  </si>
  <si>
    <t>Striploin GOLD</t>
  </si>
  <si>
    <t>Striploin Less fat</t>
  </si>
  <si>
    <t>Cuberoll</t>
  </si>
  <si>
    <t>Cuberoll TS</t>
  </si>
  <si>
    <t>Rump/Paha</t>
  </si>
  <si>
    <t>Rump Fat On</t>
  </si>
  <si>
    <t>Rump cap</t>
  </si>
  <si>
    <t>Rump Heart</t>
  </si>
  <si>
    <t>Rump Tri Tip</t>
  </si>
  <si>
    <t>Topside ®</t>
  </si>
  <si>
    <t>Striploin steak</t>
  </si>
  <si>
    <t>Chuck</t>
  </si>
  <si>
    <t>Chuck Roll</t>
  </si>
  <si>
    <t>Blade</t>
  </si>
  <si>
    <t>Chuck Tender</t>
  </si>
  <si>
    <t>Shank</t>
  </si>
  <si>
    <t>Shank Tunggal</t>
  </si>
  <si>
    <t>Brisket</t>
  </si>
  <si>
    <t>Brisket PEDO</t>
  </si>
  <si>
    <t>Brisket NE</t>
  </si>
  <si>
    <t xml:space="preserve">Brisket PE  </t>
  </si>
  <si>
    <t>Shortplate</t>
  </si>
  <si>
    <t>Tail Of Rump</t>
  </si>
  <si>
    <t>T-BONE</t>
  </si>
  <si>
    <t>FQ 90 CL/GILING</t>
  </si>
  <si>
    <t>Ope Rib whole</t>
  </si>
  <si>
    <t>Op Rib Full 8 ribs</t>
  </si>
  <si>
    <t>FQ 85 CL</t>
  </si>
  <si>
    <t>FQ 65 CL</t>
  </si>
  <si>
    <t>FQ 90 CL</t>
  </si>
  <si>
    <t>FQ 80 CL</t>
  </si>
  <si>
    <t>Porther house</t>
  </si>
  <si>
    <t>Shortloin</t>
  </si>
  <si>
    <t>Shortloin Full</t>
  </si>
  <si>
    <t>Tail of Rump</t>
  </si>
  <si>
    <t>Operib Frenched</t>
  </si>
  <si>
    <t>Ope Rib</t>
  </si>
  <si>
    <t>Tomahawk</t>
  </si>
  <si>
    <t>Tomahawk Spc</t>
  </si>
  <si>
    <t>MBT</t>
  </si>
  <si>
    <t>Flank Steak</t>
  </si>
  <si>
    <t>Rib Finger</t>
  </si>
  <si>
    <t>Thin Skirt</t>
  </si>
  <si>
    <t>Oyster Blade</t>
  </si>
  <si>
    <t>Hanging Tender</t>
  </si>
  <si>
    <t>Spenser Roll</t>
  </si>
  <si>
    <t>Flat Iron</t>
  </si>
  <si>
    <t>Flap Meat</t>
  </si>
  <si>
    <t>Beef Butt</t>
  </si>
  <si>
    <t>Osso Bucco</t>
  </si>
  <si>
    <t>Osso Bucco Frenched</t>
  </si>
  <si>
    <t>Short Rib</t>
  </si>
  <si>
    <t>Strap Of TDR</t>
  </si>
  <si>
    <t>RIBS</t>
  </si>
  <si>
    <t>Spare Rib</t>
  </si>
  <si>
    <t>Scapular</t>
  </si>
  <si>
    <t>Brisket Bone</t>
  </si>
  <si>
    <t>Back Bone</t>
  </si>
  <si>
    <t>Tendon</t>
  </si>
  <si>
    <t>Tendon SP</t>
  </si>
  <si>
    <t>Bone</t>
  </si>
  <si>
    <t>Tail Top</t>
  </si>
  <si>
    <t>Tail Tip</t>
  </si>
  <si>
    <t>Neck Bone</t>
  </si>
  <si>
    <t>Conro</t>
  </si>
  <si>
    <t>Bone SP</t>
  </si>
  <si>
    <t>Back Rib</t>
  </si>
  <si>
    <t>Marrow Bone</t>
  </si>
  <si>
    <t>Creast Meat</t>
  </si>
  <si>
    <t>Oxtail Whl</t>
  </si>
  <si>
    <t>Fat GinjaL</t>
  </si>
  <si>
    <t>Fat boning</t>
  </si>
  <si>
    <t>Tendon Muscle</t>
  </si>
  <si>
    <t>Sweetbread</t>
  </si>
  <si>
    <t>Fat Brisket</t>
  </si>
  <si>
    <t>Offal borong</t>
  </si>
  <si>
    <t>Offal</t>
  </si>
  <si>
    <t>Kulit</t>
  </si>
  <si>
    <t>Hides</t>
  </si>
  <si>
    <t>Total  :</t>
  </si>
  <si>
    <t>Jml berat (kg)</t>
  </si>
  <si>
    <t>Load Weight :</t>
  </si>
  <si>
    <t>Purchase cost :</t>
  </si>
  <si>
    <t>AV</t>
  </si>
  <si>
    <t>Average :</t>
  </si>
  <si>
    <t>Gross Profit :</t>
  </si>
  <si>
    <t>Harga/kg</t>
  </si>
  <si>
    <t>Price/Head :</t>
  </si>
  <si>
    <t>Gross Profit /kg:</t>
  </si>
  <si>
    <t>Over Head /kg:</t>
  </si>
  <si>
    <t>Net Profit /kg: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</si>
</sst>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_(* #,##0_);_(* \(#,##0\);_(* \-_);_(@_)"/>
    <numFmt numFmtId="165" formatCode="_(* #,##0.00_);_(* \(#,##0.00\);_(* \-_);_(@_)"/>
    <numFmt numFmtId="166" formatCode="dd/mmm/yyyy"/>
    <numFmt numFmtId="167" formatCode="[$-13809]dd\ mmmm\ yyyy;@"/>
    <numFmt numFmtId="168" formatCode="_-* #,##0.00_-;\-* #,##0.00_-;_-* &quot;-&quot;_-;_-@_-"/>
    <numFmt numFmtId="169" formatCode="_(* #,##0_);_(* \(#,##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sz val="11"/>
      <color indexed="10"/>
      <name val="Agency FB"/>
      <family val="2"/>
      <charset val="1"/>
    </font>
    <font>
      <sz val="10"/>
      <name val="Mangal"/>
      <family val="2"/>
    </font>
    <font>
      <b/>
      <sz val="14"/>
      <color theme="1"/>
      <name val="Calibri"/>
      <family val="2"/>
      <scheme val="minor"/>
    </font>
    <font>
      <sz val="14"/>
      <color indexed="10"/>
      <name val="Agency FB"/>
      <family val="2"/>
      <charset val="1"/>
    </font>
    <font>
      <sz val="18"/>
      <color indexed="8"/>
      <name val="Calibri"/>
      <family val="2"/>
      <charset val="1"/>
    </font>
    <font>
      <sz val="12"/>
      <color indexed="8"/>
      <name val="Calibri"/>
      <family val="2"/>
      <charset val="1"/>
    </font>
    <font>
      <sz val="12"/>
      <color indexed="8"/>
      <name val="Arial Narrow"/>
      <family val="2"/>
      <charset val="1"/>
    </font>
    <font>
      <b/>
      <sz val="11"/>
      <color indexed="8"/>
      <name val="Calibri"/>
      <family val="2"/>
      <charset val="1"/>
    </font>
    <font>
      <sz val="11"/>
      <color indexed="10"/>
      <name val="Calibri"/>
      <family val="2"/>
      <charset val="1"/>
    </font>
    <font>
      <b/>
      <sz val="12"/>
      <color indexed="8"/>
      <name val="Calibri"/>
      <family val="2"/>
      <charset val="1"/>
    </font>
    <font>
      <b/>
      <sz val="12"/>
      <color indexed="10"/>
      <name val="Agency FB"/>
      <family val="2"/>
      <charset val="1"/>
    </font>
    <font>
      <sz val="11"/>
      <name val="Calibri"/>
      <family val="2"/>
      <charset val="1"/>
    </font>
    <font>
      <b/>
      <i/>
      <sz val="11"/>
      <color indexed="10"/>
      <name val="Calibri"/>
      <family val="2"/>
      <charset val="1"/>
    </font>
    <font>
      <b/>
      <sz val="11"/>
      <color indexed="10"/>
      <name val="Agency FB"/>
      <family val="2"/>
      <charset val="1"/>
    </font>
    <font>
      <b/>
      <i/>
      <sz val="11"/>
      <color indexed="8"/>
      <name val="Calibri"/>
      <family val="2"/>
      <charset val="1"/>
    </font>
    <font>
      <b/>
      <i/>
      <sz val="11"/>
      <color indexed="10"/>
      <name val="Agency FB"/>
      <family val="2"/>
      <charset val="1"/>
    </font>
    <font>
      <b/>
      <i/>
      <sz val="1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27"/>
        <bgColor indexed="9"/>
      </patternFill>
    </fill>
    <fill>
      <patternFill patternType="solid">
        <fgColor indexed="31"/>
        <bgColor indexed="27"/>
      </patternFill>
    </fill>
    <fill>
      <patternFill patternType="solid">
        <fgColor rgb="FFFFFF00"/>
        <bgColor indexed="9"/>
      </patternFill>
    </fill>
    <fill>
      <patternFill patternType="solid">
        <fgColor indexed="9"/>
        <bgColor indexed="27"/>
      </patternFill>
    </fill>
    <fill>
      <patternFill patternType="solid">
        <fgColor theme="9" tint="0.39997558519241921"/>
        <bgColor indexed="9"/>
      </patternFill>
    </fill>
  </fills>
  <borders count="26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/>
      <top style="double">
        <color indexed="8"/>
      </top>
      <bottom/>
      <diagonal/>
    </border>
    <border>
      <left/>
      <right/>
      <top style="double">
        <color indexed="8"/>
      </top>
      <bottom/>
      <diagonal/>
    </border>
    <border>
      <left/>
      <right style="thin">
        <color indexed="8"/>
      </right>
      <top style="double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/>
      <top/>
      <bottom style="double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 style="thin">
        <color indexed="8"/>
      </right>
      <top/>
      <bottom style="double">
        <color indexed="8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164" fontId="5" fillId="0" borderId="0" applyFill="0" applyBorder="0" applyAlignment="0" applyProtection="0"/>
    <xf numFmtId="0" fontId="3" fillId="0" borderId="0"/>
    <xf numFmtId="0" fontId="3" fillId="0" borderId="0"/>
    <xf numFmtId="164" fontId="5" fillId="0" borderId="0" applyFill="0" applyBorder="0" applyAlignment="0" applyProtection="0"/>
  </cellStyleXfs>
  <cellXfs count="82">
    <xf numFmtId="0" fontId="0" fillId="0" borderId="0" xfId="0"/>
    <xf numFmtId="0" fontId="4" fillId="2" borderId="0" xfId="4" applyFont="1" applyFill="1"/>
    <xf numFmtId="0" fontId="3" fillId="0" borderId="0" xfId="4"/>
    <xf numFmtId="165" fontId="3" fillId="0" borderId="0" xfId="5" applyNumberFormat="1" applyFont="1" applyFill="1" applyBorder="1" applyAlignment="1" applyProtection="1"/>
    <xf numFmtId="10" fontId="3" fillId="0" borderId="0" xfId="3" applyNumberFormat="1" applyFont="1" applyFill="1" applyBorder="1" applyAlignment="1" applyProtection="1"/>
    <xf numFmtId="164" fontId="3" fillId="0" borderId="0" xfId="5" applyFont="1" applyFill="1" applyBorder="1" applyAlignment="1" applyProtection="1"/>
    <xf numFmtId="0" fontId="6" fillId="0" borderId="0" xfId="0" applyFont="1"/>
    <xf numFmtId="0" fontId="7" fillId="2" borderId="1" xfId="6" applyFont="1" applyFill="1" applyBorder="1"/>
    <xf numFmtId="0" fontId="4" fillId="2" borderId="2" xfId="4" applyFont="1" applyFill="1" applyBorder="1"/>
    <xf numFmtId="0" fontId="3" fillId="0" borderId="0" xfId="4" applyAlignment="1">
      <alignment horizontal="center" vertical="center"/>
    </xf>
    <xf numFmtId="0" fontId="8" fillId="0" borderId="3" xfId="6" applyFont="1" applyBorder="1" applyAlignment="1">
      <alignment vertical="top"/>
    </xf>
    <xf numFmtId="0" fontId="8" fillId="0" borderId="4" xfId="6" applyFont="1" applyBorder="1" applyAlignment="1">
      <alignment vertical="top"/>
    </xf>
    <xf numFmtId="166" fontId="9" fillId="0" borderId="4" xfId="5" applyNumberFormat="1" applyFont="1" applyFill="1" applyBorder="1" applyAlignment="1" applyProtection="1">
      <alignment vertical="center"/>
    </xf>
    <xf numFmtId="164" fontId="10" fillId="0" borderId="4" xfId="6" applyNumberFormat="1" applyFont="1" applyBorder="1" applyAlignment="1">
      <alignment horizontal="right" vertical="center"/>
    </xf>
    <xf numFmtId="167" fontId="11" fillId="3" borderId="5" xfId="5" applyNumberFormat="1" applyFont="1" applyFill="1" applyBorder="1" applyAlignment="1" applyProtection="1">
      <alignment horizontal="center" vertical="center"/>
    </xf>
    <xf numFmtId="0" fontId="7" fillId="2" borderId="6" xfId="6" applyFont="1" applyFill="1" applyBorder="1"/>
    <xf numFmtId="0" fontId="4" fillId="2" borderId="7" xfId="4" applyFont="1" applyFill="1" applyBorder="1"/>
    <xf numFmtId="0" fontId="12" fillId="0" borderId="8" xfId="6" applyFont="1" applyBorder="1" applyAlignment="1">
      <alignment vertical="top"/>
    </xf>
    <xf numFmtId="0" fontId="8" fillId="0" borderId="9" xfId="6" applyFont="1" applyBorder="1" applyAlignment="1">
      <alignment vertical="top" wrapText="1"/>
    </xf>
    <xf numFmtId="166" fontId="13" fillId="0" borderId="9" xfId="5" applyNumberFormat="1" applyFont="1" applyFill="1" applyBorder="1" applyAlignment="1" applyProtection="1">
      <alignment horizontal="center" vertical="center"/>
    </xf>
    <xf numFmtId="164" fontId="10" fillId="0" borderId="9" xfId="6" applyNumberFormat="1" applyFont="1" applyBorder="1" applyAlignment="1">
      <alignment horizontal="right" vertical="center"/>
    </xf>
    <xf numFmtId="0" fontId="14" fillId="2" borderId="10" xfId="4" applyFont="1" applyFill="1" applyBorder="1" applyAlignment="1">
      <alignment horizontal="center" vertical="center"/>
    </xf>
    <xf numFmtId="0" fontId="14" fillId="2" borderId="11" xfId="4" applyFont="1" applyFill="1" applyBorder="1" applyAlignment="1">
      <alignment horizontal="center" vertical="center"/>
    </xf>
    <xf numFmtId="0" fontId="13" fillId="4" borderId="12" xfId="4" applyFont="1" applyFill="1" applyBorder="1" applyAlignment="1">
      <alignment horizontal="center" vertical="center"/>
    </xf>
    <xf numFmtId="0" fontId="13" fillId="4" borderId="12" xfId="4" applyFont="1" applyFill="1" applyBorder="1" applyAlignment="1">
      <alignment horizontal="center" vertical="center" wrapText="1"/>
    </xf>
    <xf numFmtId="164" fontId="13" fillId="4" borderId="12" xfId="4" applyNumberFormat="1" applyFont="1" applyFill="1" applyBorder="1" applyAlignment="1">
      <alignment horizontal="center" vertical="center" wrapText="1"/>
    </xf>
    <xf numFmtId="3" fontId="13" fillId="4" borderId="12" xfId="4" applyNumberFormat="1" applyFont="1" applyFill="1" applyBorder="1" applyAlignment="1">
      <alignment horizontal="center" vertical="center" wrapText="1"/>
    </xf>
    <xf numFmtId="0" fontId="11" fillId="4" borderId="12" xfId="4" applyFont="1" applyFill="1" applyBorder="1" applyAlignment="1">
      <alignment horizontal="center" vertical="center" wrapText="1"/>
    </xf>
    <xf numFmtId="0" fontId="4" fillId="2" borderId="13" xfId="7" applyFont="1" applyFill="1" applyBorder="1" applyAlignment="1">
      <alignment horizontal="center"/>
    </xf>
    <xf numFmtId="0" fontId="4" fillId="2" borderId="14" xfId="7" applyFont="1" applyFill="1" applyBorder="1"/>
    <xf numFmtId="0" fontId="3" fillId="0" borderId="12" xfId="4" applyBorder="1" applyAlignment="1">
      <alignment horizontal="center"/>
    </xf>
    <xf numFmtId="0" fontId="3" fillId="0" borderId="12" xfId="4" applyBorder="1"/>
    <xf numFmtId="165" fontId="15" fillId="3" borderId="12" xfId="5" applyNumberFormat="1" applyFont="1" applyFill="1" applyBorder="1" applyAlignment="1" applyProtection="1"/>
    <xf numFmtId="10" fontId="3" fillId="0" borderId="12" xfId="3" applyNumberFormat="1" applyFont="1" applyFill="1" applyBorder="1" applyAlignment="1" applyProtection="1"/>
    <xf numFmtId="164" fontId="3" fillId="0" borderId="12" xfId="5" applyFont="1" applyFill="1" applyBorder="1" applyAlignment="1" applyProtection="1"/>
    <xf numFmtId="164" fontId="3" fillId="5" borderId="12" xfId="5" applyFont="1" applyFill="1" applyBorder="1" applyAlignment="1" applyProtection="1"/>
    <xf numFmtId="168" fontId="3" fillId="0" borderId="0" xfId="2" applyNumberFormat="1" applyFont="1" applyFill="1"/>
    <xf numFmtId="0" fontId="4" fillId="2" borderId="15" xfId="7" applyFont="1" applyFill="1" applyBorder="1" applyAlignment="1">
      <alignment horizontal="center"/>
    </xf>
    <xf numFmtId="0" fontId="4" fillId="2" borderId="7" xfId="7" applyFont="1" applyFill="1" applyBorder="1"/>
    <xf numFmtId="0" fontId="3" fillId="6" borderId="12" xfId="4" applyFill="1" applyBorder="1" applyAlignment="1">
      <alignment horizontal="center"/>
    </xf>
    <xf numFmtId="0" fontId="3" fillId="6" borderId="12" xfId="4" applyFill="1" applyBorder="1"/>
    <xf numFmtId="10" fontId="3" fillId="6" borderId="12" xfId="3" applyNumberFormat="1" applyFont="1" applyFill="1" applyBorder="1" applyAlignment="1" applyProtection="1"/>
    <xf numFmtId="164" fontId="3" fillId="6" borderId="12" xfId="5" applyFont="1" applyFill="1" applyBorder="1" applyAlignment="1" applyProtection="1"/>
    <xf numFmtId="164" fontId="3" fillId="3" borderId="12" xfId="5" applyFont="1" applyFill="1" applyBorder="1" applyAlignment="1" applyProtection="1"/>
    <xf numFmtId="164" fontId="3" fillId="7" borderId="12" xfId="5" applyFont="1" applyFill="1" applyBorder="1" applyAlignment="1" applyProtection="1"/>
    <xf numFmtId="0" fontId="16" fillId="0" borderId="0" xfId="4" applyFont="1"/>
    <xf numFmtId="0" fontId="17" fillId="2" borderId="7" xfId="7" applyFont="1" applyFill="1" applyBorder="1"/>
    <xf numFmtId="165" fontId="11" fillId="0" borderId="12" xfId="8" applyNumberFormat="1" applyFont="1" applyFill="1" applyBorder="1" applyAlignment="1" applyProtection="1">
      <alignment horizontal="center"/>
    </xf>
    <xf numFmtId="10" fontId="11" fillId="0" borderId="12" xfId="4" applyNumberFormat="1" applyFont="1" applyBorder="1"/>
    <xf numFmtId="164" fontId="11" fillId="0" borderId="12" xfId="5" applyFont="1" applyFill="1" applyBorder="1" applyAlignment="1" applyProtection="1"/>
    <xf numFmtId="41" fontId="3" fillId="0" borderId="0" xfId="2" applyFont="1" applyFill="1"/>
    <xf numFmtId="165" fontId="3" fillId="3" borderId="12" xfId="5" applyNumberFormat="1" applyFont="1" applyFill="1" applyBorder="1" applyAlignment="1" applyProtection="1"/>
    <xf numFmtId="0" fontId="3" fillId="0" borderId="16" xfId="4" applyBorder="1"/>
    <xf numFmtId="0" fontId="3" fillId="0" borderId="17" xfId="4" applyBorder="1"/>
    <xf numFmtId="165" fontId="3" fillId="0" borderId="17" xfId="5" applyNumberFormat="1" applyFont="1" applyFill="1" applyBorder="1" applyAlignment="1" applyProtection="1"/>
    <xf numFmtId="10" fontId="3" fillId="0" borderId="17" xfId="3" applyNumberFormat="1" applyFont="1" applyFill="1" applyBorder="1" applyAlignment="1" applyProtection="1"/>
    <xf numFmtId="164" fontId="3" fillId="0" borderId="17" xfId="5" applyFont="1" applyFill="1" applyBorder="1" applyAlignment="1" applyProtection="1"/>
    <xf numFmtId="164" fontId="18" fillId="0" borderId="17" xfId="5" applyFont="1" applyFill="1" applyBorder="1" applyAlignment="1" applyProtection="1">
      <alignment horizontal="right"/>
    </xf>
    <xf numFmtId="164" fontId="18" fillId="0" borderId="17" xfId="5" applyFont="1" applyFill="1" applyBorder="1" applyAlignment="1" applyProtection="1"/>
    <xf numFmtId="164" fontId="18" fillId="0" borderId="18" xfId="5" applyFont="1" applyFill="1" applyBorder="1" applyAlignment="1" applyProtection="1"/>
    <xf numFmtId="0" fontId="4" fillId="2" borderId="15" xfId="4" applyFont="1" applyFill="1" applyBorder="1"/>
    <xf numFmtId="0" fontId="19" fillId="2" borderId="7" xfId="7" applyFont="1" applyFill="1" applyBorder="1" applyAlignment="1">
      <alignment horizontal="right"/>
    </xf>
    <xf numFmtId="0" fontId="3" fillId="0" borderId="19" xfId="4" applyBorder="1"/>
    <xf numFmtId="0" fontId="20" fillId="0" borderId="0" xfId="7" applyFont="1" applyAlignment="1">
      <alignment horizontal="right"/>
    </xf>
    <xf numFmtId="41" fontId="2" fillId="0" borderId="0" xfId="2" applyFont="1"/>
    <xf numFmtId="164" fontId="18" fillId="0" borderId="0" xfId="5" applyFont="1" applyFill="1" applyBorder="1" applyAlignment="1" applyProtection="1">
      <alignment horizontal="right"/>
    </xf>
    <xf numFmtId="164" fontId="3" fillId="0" borderId="20" xfId="5" applyFont="1" applyFill="1" applyBorder="1" applyAlignment="1" applyProtection="1"/>
    <xf numFmtId="10" fontId="1" fillId="0" borderId="20" xfId="3" applyNumberFormat="1" applyFill="1" applyBorder="1" applyAlignment="1" applyProtection="1"/>
    <xf numFmtId="164" fontId="3" fillId="3" borderId="0" xfId="5" applyFont="1" applyFill="1" applyBorder="1" applyAlignment="1" applyProtection="1"/>
    <xf numFmtId="10" fontId="3" fillId="0" borderId="0" xfId="4" applyNumberFormat="1"/>
    <xf numFmtId="0" fontId="4" fillId="2" borderId="21" xfId="7" applyFont="1" applyFill="1" applyBorder="1" applyAlignment="1">
      <alignment horizontal="center"/>
    </xf>
    <xf numFmtId="0" fontId="4" fillId="2" borderId="22" xfId="7" applyFont="1" applyFill="1" applyBorder="1"/>
    <xf numFmtId="0" fontId="3" fillId="0" borderId="23" xfId="4" applyBorder="1"/>
    <xf numFmtId="0" fontId="3" fillId="0" borderId="24" xfId="4" applyBorder="1"/>
    <xf numFmtId="165" fontId="3" fillId="0" borderId="24" xfId="5" applyNumberFormat="1" applyFont="1" applyFill="1" applyBorder="1" applyAlignment="1" applyProtection="1"/>
    <xf numFmtId="10" fontId="3" fillId="0" borderId="24" xfId="3" applyNumberFormat="1" applyFont="1" applyFill="1" applyBorder="1" applyAlignment="1" applyProtection="1"/>
    <xf numFmtId="164" fontId="3" fillId="0" borderId="24" xfId="5" applyFont="1" applyFill="1" applyBorder="1" applyAlignment="1" applyProtection="1"/>
    <xf numFmtId="164" fontId="18" fillId="0" borderId="24" xfId="5" applyFont="1" applyFill="1" applyBorder="1" applyAlignment="1" applyProtection="1">
      <alignment horizontal="right"/>
    </xf>
    <xf numFmtId="10" fontId="1" fillId="0" borderId="25" xfId="3" applyNumberFormat="1" applyFill="1" applyBorder="1" applyAlignment="1" applyProtection="1"/>
    <xf numFmtId="165" fontId="3" fillId="0" borderId="0" xfId="3" applyNumberFormat="1" applyFont="1" applyFill="1" applyBorder="1" applyAlignment="1" applyProtection="1"/>
    <xf numFmtId="43" fontId="3" fillId="0" borderId="0" xfId="1" applyFont="1" applyFill="1" applyBorder="1" applyAlignment="1" applyProtection="1"/>
    <xf numFmtId="169" fontId="3" fillId="0" borderId="0" xfId="1" applyNumberFormat="1" applyFont="1" applyFill="1" applyBorder="1" applyAlignment="1" applyProtection="1"/>
  </cellXfs>
  <cellStyles count="9">
    <cellStyle name="Comma" xfId="1" builtinId="3"/>
    <cellStyle name="Comma [0]" xfId="2" builtinId="6"/>
    <cellStyle name="Comma [0] 2" xfId="8" xr:uid="{E1C742B0-1598-4759-94EF-E4762326BD63}"/>
    <cellStyle name="Excel Built-in Comma [0]" xfId="5" xr:uid="{421964AE-E19D-401D-BE00-D0C529749696}"/>
    <cellStyle name="Normal" xfId="0" builtinId="0"/>
    <cellStyle name="Normal 2 2" xfId="4" xr:uid="{47DC1AD6-9366-4F8E-B133-23E500D35012}"/>
    <cellStyle name="Normal 2 2 2" xfId="7" xr:uid="{A0315D60-E264-41B4-B1EC-5F69850C0B57}"/>
    <cellStyle name="Normal 5" xfId="6" xr:uid="{80F4D2EE-CD2F-4016-8493-A37EB24292EA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B345B-55F0-4637-8DEC-22A3A12F91CB}">
  <dimension ref="A1:M100"/>
  <sheetViews>
    <sheetView tabSelected="1" topLeftCell="C1" workbookViewId="0">
      <selection activeCell="Q79" sqref="Q79"/>
    </sheetView>
  </sheetViews>
  <sheetFormatPr defaultColWidth="9.109375" defaultRowHeight="15" x14ac:dyDescent="0.3"/>
  <cols>
    <col min="1" max="2" width="0" style="1" hidden="1" customWidth="1"/>
    <col min="3" max="3" width="3.109375" style="2" customWidth="1"/>
    <col min="4" max="4" width="5.44140625" style="2" customWidth="1"/>
    <col min="5" max="5" width="19.88671875" style="2" bestFit="1" customWidth="1"/>
    <col min="6" max="6" width="10.5546875" style="3" bestFit="1" customWidth="1"/>
    <col min="7" max="7" width="10.5546875" style="4" bestFit="1" customWidth="1"/>
    <col min="8" max="8" width="12.5546875" style="5" bestFit="1" customWidth="1"/>
    <col min="9" max="9" width="9.44140625" style="5" customWidth="1"/>
    <col min="10" max="10" width="14.88671875" style="5" bestFit="1" customWidth="1"/>
    <col min="11" max="11" width="13.109375" style="5" customWidth="1"/>
    <col min="12" max="12" width="18" style="5" bestFit="1" customWidth="1"/>
    <col min="13" max="13" width="4.109375" style="2" customWidth="1"/>
    <col min="14" max="14" width="4.33203125" style="2" customWidth="1"/>
    <col min="15" max="16384" width="9.109375" style="2"/>
  </cols>
  <sheetData>
    <row r="1" spans="1:13" ht="14.25" customHeight="1" x14ac:dyDescent="0.3"/>
    <row r="2" spans="1:13" ht="18.600000000000001" thickBot="1" x14ac:dyDescent="0.4">
      <c r="D2" s="6" t="s">
        <v>0</v>
      </c>
    </row>
    <row r="3" spans="1:13" ht="20.25" customHeight="1" thickTop="1" thickBot="1" x14ac:dyDescent="0.35">
      <c r="A3" s="7"/>
      <c r="B3" s="8" t="s">
        <v>1</v>
      </c>
      <c r="C3" s="9"/>
      <c r="D3" s="10" t="s">
        <v>2</v>
      </c>
      <c r="E3" s="11"/>
      <c r="F3" s="11"/>
      <c r="G3" s="11"/>
      <c r="H3" s="11"/>
      <c r="I3" s="11"/>
      <c r="J3" s="12"/>
      <c r="K3" s="13" t="s">
        <v>3</v>
      </c>
      <c r="L3" s="14">
        <v>46188</v>
      </c>
    </row>
    <row r="4" spans="1:13" ht="20.25" customHeight="1" thickTop="1" x14ac:dyDescent="0.3">
      <c r="A4" s="15"/>
      <c r="B4" s="16" t="s">
        <v>4</v>
      </c>
      <c r="C4" s="9"/>
      <c r="D4" s="17" t="s">
        <v>5</v>
      </c>
      <c r="E4" s="18"/>
      <c r="F4" s="18"/>
      <c r="G4" s="18"/>
      <c r="H4" s="18"/>
      <c r="I4" s="18"/>
      <c r="J4" s="19"/>
      <c r="K4" s="20" t="s">
        <v>6</v>
      </c>
      <c r="L4" s="14">
        <f>L3+1</f>
        <v>46189</v>
      </c>
    </row>
    <row r="5" spans="1:13" s="9" customFormat="1" ht="35.25" customHeight="1" x14ac:dyDescent="0.3">
      <c r="A5" s="21" t="s">
        <v>7</v>
      </c>
      <c r="B5" s="22" t="s">
        <v>8</v>
      </c>
      <c r="D5" s="23" t="s">
        <v>7</v>
      </c>
      <c r="E5" s="23" t="s">
        <v>8</v>
      </c>
      <c r="F5" s="23" t="s">
        <v>9</v>
      </c>
      <c r="G5" s="24" t="s">
        <v>10</v>
      </c>
      <c r="H5" s="24" t="s">
        <v>11</v>
      </c>
      <c r="I5" s="25" t="s">
        <v>12</v>
      </c>
      <c r="J5" s="26" t="s">
        <v>13</v>
      </c>
      <c r="K5" s="27" t="s">
        <v>14</v>
      </c>
      <c r="L5" s="27" t="s">
        <v>15</v>
      </c>
    </row>
    <row r="6" spans="1:13" x14ac:dyDescent="0.3">
      <c r="A6" s="28">
        <v>1</v>
      </c>
      <c r="B6" s="29" t="s">
        <v>16</v>
      </c>
      <c r="D6" s="30">
        <v>1</v>
      </c>
      <c r="E6" s="31" t="s">
        <v>16</v>
      </c>
      <c r="F6" s="32">
        <v>401.54</v>
      </c>
      <c r="G6" s="33">
        <f t="shared" ref="G6:G70" si="0">+F6/F$87</f>
        <v>6.5663899736389364E-2</v>
      </c>
      <c r="H6" s="34">
        <f t="shared" ref="H6:H11" si="1">I6-(I6*6%)</f>
        <v>140060</v>
      </c>
      <c r="I6" s="35">
        <v>149000</v>
      </c>
      <c r="J6" s="34">
        <f>H6*F6</f>
        <v>56239692.400000006</v>
      </c>
      <c r="K6" s="34">
        <f>IF(ISERROR(+L6/F6),0,+L6/F6)</f>
        <v>132788.75589972633</v>
      </c>
      <c r="L6" s="34">
        <f t="shared" ref="L6:L70" si="2">+(J6/$J$90)*$J$91</f>
        <v>53319997.043976113</v>
      </c>
      <c r="M6" s="36"/>
    </row>
    <row r="7" spans="1:13" x14ac:dyDescent="0.3">
      <c r="A7" s="37">
        <f>1+A6</f>
        <v>2</v>
      </c>
      <c r="B7" s="38" t="s">
        <v>17</v>
      </c>
      <c r="D7" s="39">
        <v>2</v>
      </c>
      <c r="E7" s="40" t="s">
        <v>17</v>
      </c>
      <c r="F7" s="32"/>
      <c r="G7" s="41">
        <f t="shared" si="0"/>
        <v>0</v>
      </c>
      <c r="H7" s="34">
        <f t="shared" si="1"/>
        <v>140060</v>
      </c>
      <c r="I7" s="35">
        <v>149000</v>
      </c>
      <c r="J7" s="34">
        <f t="shared" ref="J7:J86" si="3">H7*F7</f>
        <v>0</v>
      </c>
      <c r="K7" s="42">
        <f t="shared" ref="K7:K86" si="4">IF(ISERROR(+L7/F7),0,+L7/F7)</f>
        <v>0</v>
      </c>
      <c r="L7" s="42">
        <f t="shared" si="2"/>
        <v>0</v>
      </c>
      <c r="M7" s="36"/>
    </row>
    <row r="8" spans="1:13" x14ac:dyDescent="0.3">
      <c r="A8" s="37"/>
      <c r="B8" s="38"/>
      <c r="D8" s="30">
        <v>3</v>
      </c>
      <c r="E8" s="40" t="s">
        <v>18</v>
      </c>
      <c r="F8" s="32">
        <v>348.06</v>
      </c>
      <c r="G8" s="41">
        <f t="shared" si="0"/>
        <v>5.6918306874153717E-2</v>
      </c>
      <c r="H8" s="34">
        <f t="shared" si="1"/>
        <v>140060</v>
      </c>
      <c r="I8" s="35">
        <v>149000</v>
      </c>
      <c r="J8" s="34">
        <f t="shared" si="3"/>
        <v>48749283.600000001</v>
      </c>
      <c r="K8" s="42">
        <f t="shared" si="4"/>
        <v>132788.75589972633</v>
      </c>
      <c r="L8" s="42">
        <f t="shared" si="2"/>
        <v>46218454.378458746</v>
      </c>
      <c r="M8" s="36"/>
    </row>
    <row r="9" spans="1:13" x14ac:dyDescent="0.3">
      <c r="A9" s="37">
        <f>1+A7</f>
        <v>3</v>
      </c>
      <c r="B9" s="38" t="s">
        <v>19</v>
      </c>
      <c r="D9" s="39">
        <v>4</v>
      </c>
      <c r="E9" s="31" t="s">
        <v>19</v>
      </c>
      <c r="F9" s="32"/>
      <c r="G9" s="33">
        <f t="shared" si="0"/>
        <v>0</v>
      </c>
      <c r="H9" s="34">
        <f t="shared" si="1"/>
        <v>140060</v>
      </c>
      <c r="I9" s="35">
        <v>149000</v>
      </c>
      <c r="J9" s="34">
        <f>H9*F9</f>
        <v>0</v>
      </c>
      <c r="K9" s="34">
        <f>IF(ISERROR(+L9/F9),0,+L9/F9)</f>
        <v>0</v>
      </c>
      <c r="L9" s="34">
        <f t="shared" si="2"/>
        <v>0</v>
      </c>
      <c r="M9" s="36"/>
    </row>
    <row r="10" spans="1:13" x14ac:dyDescent="0.3">
      <c r="A10" s="37">
        <f>1+A9</f>
        <v>4</v>
      </c>
      <c r="B10" s="38" t="s">
        <v>20</v>
      </c>
      <c r="D10" s="30">
        <v>5</v>
      </c>
      <c r="E10" s="40" t="s">
        <v>20</v>
      </c>
      <c r="F10" s="32">
        <v>260.06</v>
      </c>
      <c r="G10" s="41">
        <f t="shared" si="0"/>
        <v>4.2527652949756981E-2</v>
      </c>
      <c r="H10" s="34">
        <f t="shared" si="1"/>
        <v>140060</v>
      </c>
      <c r="I10" s="35">
        <v>149000</v>
      </c>
      <c r="J10" s="34">
        <f t="shared" si="3"/>
        <v>36424003.600000001</v>
      </c>
      <c r="K10" s="42">
        <f t="shared" si="4"/>
        <v>132788.75589972633</v>
      </c>
      <c r="L10" s="42">
        <f t="shared" si="2"/>
        <v>34533043.859282829</v>
      </c>
      <c r="M10" s="36"/>
    </row>
    <row r="11" spans="1:13" ht="14.25" customHeight="1" x14ac:dyDescent="0.3">
      <c r="A11" s="37">
        <f>1+A10</f>
        <v>5</v>
      </c>
      <c r="B11" s="38" t="s">
        <v>21</v>
      </c>
      <c r="D11" s="39">
        <v>6</v>
      </c>
      <c r="E11" s="31" t="s">
        <v>21</v>
      </c>
      <c r="F11" s="32">
        <v>91.32</v>
      </c>
      <c r="G11" s="33">
        <f t="shared" si="0"/>
        <v>1.4933574049726245E-2</v>
      </c>
      <c r="H11" s="34">
        <f t="shared" si="1"/>
        <v>202100</v>
      </c>
      <c r="I11" s="35">
        <v>215000</v>
      </c>
      <c r="J11" s="34">
        <f>H11*F11</f>
        <v>18455772</v>
      </c>
      <c r="K11" s="34">
        <f>IF(ISERROR(+L11/F11),0,+L11/F11)</f>
        <v>191607.93636537693</v>
      </c>
      <c r="L11" s="34">
        <f t="shared" si="2"/>
        <v>17497636.74888622</v>
      </c>
      <c r="M11" s="36"/>
    </row>
    <row r="12" spans="1:13" s="3" customFormat="1" x14ac:dyDescent="0.3">
      <c r="A12" s="37">
        <f>1+A46</f>
        <v>20</v>
      </c>
      <c r="B12" s="38" t="s">
        <v>22</v>
      </c>
      <c r="C12" s="2"/>
      <c r="D12" s="30">
        <v>29</v>
      </c>
      <c r="E12" s="40" t="s">
        <v>23</v>
      </c>
      <c r="F12" s="32"/>
      <c r="G12" s="41">
        <f t="shared" si="0"/>
        <v>0</v>
      </c>
      <c r="H12" s="34">
        <v>190000</v>
      </c>
      <c r="I12" s="43">
        <v>190000</v>
      </c>
      <c r="J12" s="34">
        <f>H12*F12</f>
        <v>0</v>
      </c>
      <c r="K12" s="42">
        <f>IF(ISERROR(+L12/F12),0,+L12/F12)</f>
        <v>0</v>
      </c>
      <c r="L12" s="42">
        <f t="shared" si="2"/>
        <v>0</v>
      </c>
      <c r="M12" s="36"/>
    </row>
    <row r="13" spans="1:13" ht="14.25" customHeight="1" x14ac:dyDescent="0.3">
      <c r="A13" s="37"/>
      <c r="B13" s="38"/>
      <c r="D13" s="39"/>
      <c r="E13" s="31" t="s">
        <v>24</v>
      </c>
      <c r="F13" s="32"/>
      <c r="G13" s="41">
        <f t="shared" si="0"/>
        <v>0</v>
      </c>
      <c r="H13" s="34">
        <v>110000</v>
      </c>
      <c r="I13" s="43">
        <v>110000</v>
      </c>
      <c r="J13" s="34">
        <f>H13*F13</f>
        <v>0</v>
      </c>
      <c r="K13" s="42">
        <f>IF(ISERROR(+L13/F13),0,+L13/F13)</f>
        <v>0</v>
      </c>
      <c r="L13" s="42">
        <f t="shared" si="2"/>
        <v>0</v>
      </c>
      <c r="M13" s="36"/>
    </row>
    <row r="14" spans="1:13" ht="14.25" customHeight="1" x14ac:dyDescent="0.3">
      <c r="A14" s="37"/>
      <c r="B14" s="38"/>
      <c r="D14" s="39"/>
      <c r="E14" s="31" t="s">
        <v>25</v>
      </c>
      <c r="F14" s="32"/>
      <c r="G14" s="41">
        <f t="shared" si="0"/>
        <v>0</v>
      </c>
      <c r="H14" s="34">
        <v>150000</v>
      </c>
      <c r="I14" s="43">
        <v>150000</v>
      </c>
      <c r="J14" s="34">
        <f>H14*F14</f>
        <v>0</v>
      </c>
      <c r="K14" s="42">
        <f>IF(ISERROR(+L14/F14),0,+L14/F14)</f>
        <v>0</v>
      </c>
      <c r="L14" s="42">
        <f t="shared" si="2"/>
        <v>0</v>
      </c>
      <c r="M14" s="36"/>
    </row>
    <row r="15" spans="1:13" x14ac:dyDescent="0.3">
      <c r="A15" s="37">
        <f>1+A11</f>
        <v>6</v>
      </c>
      <c r="B15" s="38" t="s">
        <v>21</v>
      </c>
      <c r="D15" s="39">
        <v>6</v>
      </c>
      <c r="E15" s="31" t="s">
        <v>26</v>
      </c>
      <c r="F15" s="32"/>
      <c r="G15" s="33">
        <f t="shared" si="0"/>
        <v>0</v>
      </c>
      <c r="H15" s="34">
        <f>I15-(I15*6%)</f>
        <v>202100</v>
      </c>
      <c r="I15" s="35">
        <v>215000</v>
      </c>
      <c r="J15" s="34">
        <f>H15*F15</f>
        <v>0</v>
      </c>
      <c r="K15" s="34">
        <f>IF(ISERROR(+L15/F15),0,+L15/F15)</f>
        <v>0</v>
      </c>
      <c r="L15" s="34">
        <f t="shared" si="2"/>
        <v>0</v>
      </c>
      <c r="M15" s="36"/>
    </row>
    <row r="16" spans="1:13" x14ac:dyDescent="0.3">
      <c r="A16" s="37">
        <f>1+A11</f>
        <v>6</v>
      </c>
      <c r="B16" s="38" t="s">
        <v>27</v>
      </c>
      <c r="D16" s="30">
        <v>7</v>
      </c>
      <c r="E16" s="40" t="s">
        <v>28</v>
      </c>
      <c r="F16" s="32">
        <v>234.4</v>
      </c>
      <c r="G16" s="41">
        <f t="shared" si="0"/>
        <v>3.8331469089529481E-2</v>
      </c>
      <c r="H16" s="34">
        <f>I16-(I16*6%)</f>
        <v>140060</v>
      </c>
      <c r="I16" s="35">
        <v>149000</v>
      </c>
      <c r="J16" s="34">
        <f t="shared" si="3"/>
        <v>32830064</v>
      </c>
      <c r="K16" s="42">
        <f t="shared" si="4"/>
        <v>132788.75589972633</v>
      </c>
      <c r="L16" s="42">
        <f t="shared" si="2"/>
        <v>31125684.38289585</v>
      </c>
      <c r="M16" s="36"/>
    </row>
    <row r="17" spans="1:13" x14ac:dyDescent="0.3">
      <c r="A17" s="37">
        <f>1+A15</f>
        <v>7</v>
      </c>
      <c r="B17" s="38" t="s">
        <v>27</v>
      </c>
      <c r="D17" s="30">
        <v>7</v>
      </c>
      <c r="E17" s="40" t="s">
        <v>29</v>
      </c>
      <c r="F17" s="32"/>
      <c r="G17" s="41">
        <f t="shared" si="0"/>
        <v>0</v>
      </c>
      <c r="H17" s="34">
        <f>I17-(I17*6%)</f>
        <v>140060</v>
      </c>
      <c r="I17" s="35">
        <v>149000</v>
      </c>
      <c r="J17" s="34">
        <f>H17*F17</f>
        <v>0</v>
      </c>
      <c r="K17" s="42">
        <f t="shared" si="4"/>
        <v>0</v>
      </c>
      <c r="L17" s="42">
        <f t="shared" si="2"/>
        <v>0</v>
      </c>
      <c r="M17" s="36"/>
    </row>
    <row r="18" spans="1:13" x14ac:dyDescent="0.3">
      <c r="A18" s="37">
        <f>1+A16</f>
        <v>7</v>
      </c>
      <c r="B18" s="38" t="s">
        <v>30</v>
      </c>
      <c r="D18" s="39">
        <v>8</v>
      </c>
      <c r="E18" s="31" t="s">
        <v>31</v>
      </c>
      <c r="F18" s="32"/>
      <c r="G18" s="33">
        <f t="shared" si="0"/>
        <v>0</v>
      </c>
      <c r="H18" s="34">
        <f>I18-(I18*16.45%)</f>
        <v>123654</v>
      </c>
      <c r="I18" s="44">
        <v>148000</v>
      </c>
      <c r="J18" s="34">
        <f t="shared" si="3"/>
        <v>0</v>
      </c>
      <c r="K18" s="34">
        <f t="shared" si="4"/>
        <v>0</v>
      </c>
      <c r="L18" s="34">
        <f t="shared" si="2"/>
        <v>0</v>
      </c>
      <c r="M18" s="36"/>
    </row>
    <row r="19" spans="1:13" x14ac:dyDescent="0.3">
      <c r="A19" s="37"/>
      <c r="B19" s="38"/>
      <c r="D19" s="39"/>
      <c r="E19" s="31" t="s">
        <v>32</v>
      </c>
      <c r="F19" s="32"/>
      <c r="G19" s="33">
        <f t="shared" si="0"/>
        <v>0</v>
      </c>
      <c r="H19" s="34">
        <f>I19-(I19*16.45%)</f>
        <v>132844.5</v>
      </c>
      <c r="I19" s="44">
        <v>159000</v>
      </c>
      <c r="J19" s="34">
        <f t="shared" si="3"/>
        <v>0</v>
      </c>
      <c r="K19" s="34">
        <f t="shared" si="4"/>
        <v>0</v>
      </c>
      <c r="L19" s="34">
        <f t="shared" si="2"/>
        <v>0</v>
      </c>
      <c r="M19" s="36"/>
    </row>
    <row r="20" spans="1:13" x14ac:dyDescent="0.3">
      <c r="A20" s="37"/>
      <c r="B20" s="38"/>
      <c r="D20" s="39"/>
      <c r="E20" s="31" t="s">
        <v>33</v>
      </c>
      <c r="F20" s="32"/>
      <c r="G20" s="33">
        <f t="shared" si="0"/>
        <v>0</v>
      </c>
      <c r="H20" s="34">
        <f>I20-(I20*16.45%)</f>
        <v>132844.5</v>
      </c>
      <c r="I20" s="44">
        <v>159000</v>
      </c>
      <c r="J20" s="34">
        <f t="shared" si="3"/>
        <v>0</v>
      </c>
      <c r="K20" s="34">
        <f t="shared" si="4"/>
        <v>0</v>
      </c>
      <c r="L20" s="34">
        <f t="shared" si="2"/>
        <v>0</v>
      </c>
      <c r="M20" s="36"/>
    </row>
    <row r="21" spans="1:13" x14ac:dyDescent="0.3">
      <c r="A21" s="37">
        <f>1+A18</f>
        <v>8</v>
      </c>
      <c r="B21" s="38" t="s">
        <v>34</v>
      </c>
      <c r="D21" s="30">
        <v>9</v>
      </c>
      <c r="E21" s="40" t="s">
        <v>34</v>
      </c>
      <c r="F21" s="32">
        <v>88.5</v>
      </c>
      <c r="G21" s="41">
        <f t="shared" si="0"/>
        <v>1.4472419003512624E-2</v>
      </c>
      <c r="H21" s="34">
        <f>I21-(I21*16.45%)</f>
        <v>138693</v>
      </c>
      <c r="I21" s="44">
        <v>166000</v>
      </c>
      <c r="J21" s="34">
        <f t="shared" si="3"/>
        <v>12274330.5</v>
      </c>
      <c r="K21" s="42">
        <f t="shared" si="4"/>
        <v>131492.72398972398</v>
      </c>
      <c r="L21" s="42">
        <f t="shared" si="2"/>
        <v>11637106.073090572</v>
      </c>
      <c r="M21" s="36"/>
    </row>
    <row r="22" spans="1:13" x14ac:dyDescent="0.3">
      <c r="A22" s="37">
        <f>1+A19</f>
        <v>1</v>
      </c>
      <c r="B22" s="38" t="s">
        <v>34</v>
      </c>
      <c r="D22" s="30">
        <v>9</v>
      </c>
      <c r="E22" s="40" t="s">
        <v>35</v>
      </c>
      <c r="F22" s="32"/>
      <c r="G22" s="41">
        <f t="shared" si="0"/>
        <v>0</v>
      </c>
      <c r="H22" s="34">
        <f>I22-(I22*16.45%)</f>
        <v>138693</v>
      </c>
      <c r="I22" s="44">
        <v>166000</v>
      </c>
      <c r="J22" s="34">
        <f t="shared" si="3"/>
        <v>0</v>
      </c>
      <c r="K22" s="42">
        <f t="shared" si="4"/>
        <v>0</v>
      </c>
      <c r="L22" s="42">
        <f t="shared" si="2"/>
        <v>0</v>
      </c>
      <c r="M22" s="36"/>
    </row>
    <row r="23" spans="1:13" x14ac:dyDescent="0.3">
      <c r="A23" s="37">
        <f>1+A21</f>
        <v>9</v>
      </c>
      <c r="B23" s="38" t="s">
        <v>36</v>
      </c>
      <c r="D23" s="39">
        <v>10</v>
      </c>
      <c r="E23" s="31" t="s">
        <v>36</v>
      </c>
      <c r="F23" s="32">
        <v>289.7</v>
      </c>
      <c r="G23" s="33">
        <f t="shared" si="0"/>
        <v>4.7374686839746973E-2</v>
      </c>
      <c r="H23" s="34">
        <f>I23-(I23*6%)</f>
        <v>140060</v>
      </c>
      <c r="I23" s="35">
        <v>149000</v>
      </c>
      <c r="J23" s="34">
        <f t="shared" si="3"/>
        <v>40575382</v>
      </c>
      <c r="K23" s="34">
        <f t="shared" si="4"/>
        <v>132788.75589972633</v>
      </c>
      <c r="L23" s="34">
        <f t="shared" si="2"/>
        <v>38468902.584150717</v>
      </c>
      <c r="M23" s="36"/>
    </row>
    <row r="24" spans="1:13" x14ac:dyDescent="0.3">
      <c r="A24" s="37"/>
      <c r="B24" s="38"/>
      <c r="D24" s="30">
        <v>11</v>
      </c>
      <c r="E24" s="31" t="s">
        <v>37</v>
      </c>
      <c r="F24" s="32"/>
      <c r="G24" s="33">
        <f t="shared" si="0"/>
        <v>0</v>
      </c>
      <c r="H24" s="34">
        <v>160000</v>
      </c>
      <c r="I24" s="43">
        <v>160000</v>
      </c>
      <c r="J24" s="34">
        <f t="shared" si="3"/>
        <v>0</v>
      </c>
      <c r="K24" s="34">
        <f t="shared" si="4"/>
        <v>0</v>
      </c>
      <c r="L24" s="34">
        <f t="shared" si="2"/>
        <v>0</v>
      </c>
      <c r="M24" s="36"/>
    </row>
    <row r="25" spans="1:13" x14ac:dyDescent="0.3">
      <c r="A25" s="37"/>
      <c r="B25" s="38"/>
      <c r="D25" s="39">
        <v>12</v>
      </c>
      <c r="E25" s="31" t="s">
        <v>38</v>
      </c>
      <c r="F25" s="32"/>
      <c r="G25" s="33">
        <f t="shared" si="0"/>
        <v>0</v>
      </c>
      <c r="H25" s="34">
        <v>150000</v>
      </c>
      <c r="I25" s="43">
        <v>150000</v>
      </c>
      <c r="J25" s="34">
        <f t="shared" si="3"/>
        <v>0</v>
      </c>
      <c r="K25" s="34">
        <f t="shared" si="4"/>
        <v>0</v>
      </c>
      <c r="L25" s="34">
        <f t="shared" si="2"/>
        <v>0</v>
      </c>
      <c r="M25" s="36"/>
    </row>
    <row r="26" spans="1:13" x14ac:dyDescent="0.3">
      <c r="A26" s="37"/>
      <c r="B26" s="38"/>
      <c r="D26" s="30">
        <v>13</v>
      </c>
      <c r="E26" s="31" t="s">
        <v>39</v>
      </c>
      <c r="F26" s="32"/>
      <c r="G26" s="33">
        <f t="shared" si="0"/>
        <v>0</v>
      </c>
      <c r="H26" s="34">
        <v>130000</v>
      </c>
      <c r="I26" s="43">
        <v>130000</v>
      </c>
      <c r="J26" s="34">
        <f t="shared" si="3"/>
        <v>0</v>
      </c>
      <c r="K26" s="34">
        <f t="shared" si="4"/>
        <v>0</v>
      </c>
      <c r="L26" s="34">
        <f t="shared" si="2"/>
        <v>0</v>
      </c>
      <c r="M26" s="36"/>
    </row>
    <row r="27" spans="1:13" x14ac:dyDescent="0.3">
      <c r="A27" s="37"/>
      <c r="B27" s="38"/>
      <c r="D27" s="39">
        <v>14</v>
      </c>
      <c r="E27" s="31" t="s">
        <v>40</v>
      </c>
      <c r="F27" s="32"/>
      <c r="G27" s="33">
        <f t="shared" si="0"/>
        <v>0</v>
      </c>
      <c r="H27" s="34">
        <v>145000</v>
      </c>
      <c r="I27" s="43">
        <v>145000</v>
      </c>
      <c r="J27" s="34">
        <f t="shared" si="3"/>
        <v>0</v>
      </c>
      <c r="K27" s="34">
        <f t="shared" si="4"/>
        <v>0</v>
      </c>
      <c r="L27" s="34">
        <f t="shared" si="2"/>
        <v>0</v>
      </c>
      <c r="M27" s="36"/>
    </row>
    <row r="28" spans="1:13" x14ac:dyDescent="0.3">
      <c r="A28" s="37">
        <f>1+A23</f>
        <v>10</v>
      </c>
      <c r="B28" s="38" t="s">
        <v>41</v>
      </c>
      <c r="D28" s="30">
        <v>15</v>
      </c>
      <c r="E28" s="40" t="s">
        <v>42</v>
      </c>
      <c r="F28" s="32"/>
      <c r="G28" s="41">
        <f t="shared" si="0"/>
        <v>0</v>
      </c>
      <c r="H28" s="34">
        <v>175000</v>
      </c>
      <c r="I28" s="43">
        <v>210000</v>
      </c>
      <c r="J28" s="34">
        <f>H28*F28</f>
        <v>0</v>
      </c>
      <c r="K28" s="42">
        <f>IF(ISERROR(+L28/F28),0,+L28/F28)</f>
        <v>0</v>
      </c>
      <c r="L28" s="42">
        <f t="shared" si="2"/>
        <v>0</v>
      </c>
      <c r="M28" s="36"/>
    </row>
    <row r="29" spans="1:13" x14ac:dyDescent="0.3">
      <c r="A29" s="37">
        <f>1+A28</f>
        <v>11</v>
      </c>
      <c r="B29" s="38" t="s">
        <v>43</v>
      </c>
      <c r="D29" s="39">
        <v>16</v>
      </c>
      <c r="E29" s="31" t="s">
        <v>43</v>
      </c>
      <c r="F29" s="32">
        <v>1341.14</v>
      </c>
      <c r="G29" s="33">
        <f t="shared" si="0"/>
        <v>0.21931683641097086</v>
      </c>
      <c r="H29" s="34">
        <f t="shared" ref="H29:H34" si="5">I29-(I29*6%)</f>
        <v>140060</v>
      </c>
      <c r="I29" s="35">
        <v>149000</v>
      </c>
      <c r="J29" s="34">
        <f t="shared" si="3"/>
        <v>187840068.40000001</v>
      </c>
      <c r="K29" s="34">
        <f t="shared" si="4"/>
        <v>132788.7558997263</v>
      </c>
      <c r="L29" s="34">
        <f t="shared" si="2"/>
        <v>178088312.08735895</v>
      </c>
      <c r="M29" s="36"/>
    </row>
    <row r="30" spans="1:13" x14ac:dyDescent="0.3">
      <c r="A30" s="37"/>
      <c r="B30" s="38"/>
      <c r="D30" s="39"/>
      <c r="E30" s="31" t="s">
        <v>44</v>
      </c>
      <c r="F30" s="32"/>
      <c r="G30" s="33">
        <f t="shared" si="0"/>
        <v>0</v>
      </c>
      <c r="H30" s="34">
        <v>130000</v>
      </c>
      <c r="I30" s="43">
        <v>130000</v>
      </c>
      <c r="J30" s="34">
        <f t="shared" si="3"/>
        <v>0</v>
      </c>
      <c r="K30" s="34">
        <f t="shared" si="4"/>
        <v>0</v>
      </c>
      <c r="L30" s="34">
        <f t="shared" si="2"/>
        <v>0</v>
      </c>
      <c r="M30" s="36"/>
    </row>
    <row r="31" spans="1:13" x14ac:dyDescent="0.3">
      <c r="A31" s="37">
        <f>1+A29</f>
        <v>12</v>
      </c>
      <c r="B31" s="38" t="s">
        <v>45</v>
      </c>
      <c r="D31" s="30">
        <v>17</v>
      </c>
      <c r="E31" s="40" t="s">
        <v>45</v>
      </c>
      <c r="F31" s="32"/>
      <c r="G31" s="41">
        <f t="shared" si="0"/>
        <v>0</v>
      </c>
      <c r="H31" s="34">
        <f t="shared" si="5"/>
        <v>140060</v>
      </c>
      <c r="I31" s="35">
        <v>149000</v>
      </c>
      <c r="J31" s="34">
        <f t="shared" si="3"/>
        <v>0</v>
      </c>
      <c r="K31" s="42">
        <f t="shared" si="4"/>
        <v>0</v>
      </c>
      <c r="L31" s="42">
        <f t="shared" si="2"/>
        <v>0</v>
      </c>
      <c r="M31" s="36"/>
    </row>
    <row r="32" spans="1:13" x14ac:dyDescent="0.3">
      <c r="A32" s="37">
        <f>1+A31</f>
        <v>13</v>
      </c>
      <c r="B32" s="38" t="s">
        <v>46</v>
      </c>
      <c r="D32" s="39">
        <v>18</v>
      </c>
      <c r="E32" s="31" t="s">
        <v>46</v>
      </c>
      <c r="F32" s="32">
        <v>63.58</v>
      </c>
      <c r="G32" s="33">
        <f t="shared" si="0"/>
        <v>1.039724746037664E-2</v>
      </c>
      <c r="H32" s="34">
        <f t="shared" si="5"/>
        <v>140060</v>
      </c>
      <c r="I32" s="35">
        <v>149000</v>
      </c>
      <c r="J32" s="34">
        <f t="shared" si="3"/>
        <v>8905014.7999999989</v>
      </c>
      <c r="K32" s="34">
        <f t="shared" si="4"/>
        <v>132788.7558997263</v>
      </c>
      <c r="L32" s="34">
        <f t="shared" si="2"/>
        <v>8442709.1001045983</v>
      </c>
      <c r="M32" s="36"/>
    </row>
    <row r="33" spans="1:13" x14ac:dyDescent="0.3">
      <c r="A33" s="37">
        <f>1+A32</f>
        <v>14</v>
      </c>
      <c r="B33" s="38" t="s">
        <v>47</v>
      </c>
      <c r="D33" s="30">
        <v>19</v>
      </c>
      <c r="E33" s="40" t="s">
        <v>47</v>
      </c>
      <c r="F33" s="32">
        <v>371.5</v>
      </c>
      <c r="G33" s="41">
        <f t="shared" si="0"/>
        <v>6.075145378310666E-2</v>
      </c>
      <c r="H33" s="34">
        <f t="shared" si="5"/>
        <v>140060</v>
      </c>
      <c r="I33" s="35">
        <v>149000</v>
      </c>
      <c r="J33" s="34">
        <f t="shared" si="3"/>
        <v>52032290</v>
      </c>
      <c r="K33" s="42">
        <f t="shared" si="4"/>
        <v>132788.75589972633</v>
      </c>
      <c r="L33" s="42">
        <f t="shared" si="2"/>
        <v>49331022.816748329</v>
      </c>
      <c r="M33" s="36"/>
    </row>
    <row r="34" spans="1:13" x14ac:dyDescent="0.3">
      <c r="A34" s="37"/>
      <c r="B34" s="38"/>
      <c r="D34" s="30"/>
      <c r="E34" s="40" t="s">
        <v>48</v>
      </c>
      <c r="F34" s="32"/>
      <c r="G34" s="41">
        <f t="shared" si="0"/>
        <v>0</v>
      </c>
      <c r="H34" s="34">
        <f t="shared" si="5"/>
        <v>140060</v>
      </c>
      <c r="I34" s="35">
        <v>149000</v>
      </c>
      <c r="J34" s="34">
        <f t="shared" si="3"/>
        <v>0</v>
      </c>
      <c r="K34" s="42">
        <f t="shared" si="4"/>
        <v>0</v>
      </c>
      <c r="L34" s="42">
        <f t="shared" si="2"/>
        <v>0</v>
      </c>
      <c r="M34" s="36"/>
    </row>
    <row r="35" spans="1:13" s="3" customFormat="1" x14ac:dyDescent="0.3">
      <c r="A35" s="37">
        <f>1+A33</f>
        <v>15</v>
      </c>
      <c r="B35" s="38" t="s">
        <v>49</v>
      </c>
      <c r="C35" s="2"/>
      <c r="D35" s="39">
        <v>20</v>
      </c>
      <c r="E35" s="31" t="s">
        <v>49</v>
      </c>
      <c r="F35" s="32">
        <v>352.14</v>
      </c>
      <c r="G35" s="33">
        <f t="shared" si="0"/>
        <v>5.7585509919739382E-2</v>
      </c>
      <c r="H35" s="34">
        <f>I35-(I35*6%)</f>
        <v>140060</v>
      </c>
      <c r="I35" s="35">
        <v>149000</v>
      </c>
      <c r="J35" s="34">
        <f t="shared" si="3"/>
        <v>49320728.399999999</v>
      </c>
      <c r="K35" s="34">
        <f t="shared" si="4"/>
        <v>132788.7558997263</v>
      </c>
      <c r="L35" s="34">
        <f t="shared" si="2"/>
        <v>46760232.502529621</v>
      </c>
      <c r="M35" s="36"/>
    </row>
    <row r="36" spans="1:13" s="3" customFormat="1" x14ac:dyDescent="0.3">
      <c r="A36" s="37"/>
      <c r="B36" s="38"/>
      <c r="C36" s="2"/>
      <c r="D36" s="30">
        <v>21</v>
      </c>
      <c r="E36" s="31" t="s">
        <v>50</v>
      </c>
      <c r="F36" s="32"/>
      <c r="G36" s="33">
        <f t="shared" si="0"/>
        <v>0</v>
      </c>
      <c r="H36" s="34">
        <f>I36-(I36*5%)</f>
        <v>142500</v>
      </c>
      <c r="I36" s="43">
        <v>150000</v>
      </c>
      <c r="J36" s="34">
        <f t="shared" si="3"/>
        <v>0</v>
      </c>
      <c r="K36" s="34">
        <f t="shared" si="4"/>
        <v>0</v>
      </c>
      <c r="L36" s="34">
        <f t="shared" si="2"/>
        <v>0</v>
      </c>
      <c r="M36" s="36"/>
    </row>
    <row r="37" spans="1:13" s="3" customFormat="1" x14ac:dyDescent="0.3">
      <c r="A37" s="37"/>
      <c r="B37" s="38"/>
      <c r="C37" s="2"/>
      <c r="D37" s="39">
        <v>22</v>
      </c>
      <c r="E37" s="31" t="s">
        <v>51</v>
      </c>
      <c r="F37" s="32"/>
      <c r="G37" s="33">
        <f t="shared" si="0"/>
        <v>0</v>
      </c>
      <c r="H37" s="34">
        <v>130000</v>
      </c>
      <c r="I37" s="43">
        <v>130000</v>
      </c>
      <c r="J37" s="34">
        <f t="shared" si="3"/>
        <v>0</v>
      </c>
      <c r="K37" s="34">
        <f t="shared" si="4"/>
        <v>0</v>
      </c>
      <c r="L37" s="34">
        <f t="shared" si="2"/>
        <v>0</v>
      </c>
      <c r="M37" s="36"/>
    </row>
    <row r="38" spans="1:13" s="3" customFormat="1" x14ac:dyDescent="0.3">
      <c r="A38" s="37"/>
      <c r="B38" s="38"/>
      <c r="C38" s="2"/>
      <c r="D38" s="30">
        <v>23</v>
      </c>
      <c r="E38" s="31" t="s">
        <v>52</v>
      </c>
      <c r="F38" s="32"/>
      <c r="G38" s="33">
        <f t="shared" si="0"/>
        <v>0</v>
      </c>
      <c r="H38" s="34">
        <v>130000</v>
      </c>
      <c r="I38" s="43">
        <v>150000</v>
      </c>
      <c r="J38" s="34">
        <f t="shared" si="3"/>
        <v>0</v>
      </c>
      <c r="K38" s="34">
        <f t="shared" si="4"/>
        <v>0</v>
      </c>
      <c r="L38" s="34">
        <f t="shared" si="2"/>
        <v>0</v>
      </c>
      <c r="M38" s="36"/>
    </row>
    <row r="39" spans="1:13" s="3" customFormat="1" x14ac:dyDescent="0.3">
      <c r="A39" s="37"/>
      <c r="B39" s="38"/>
      <c r="C39" s="2"/>
      <c r="D39" s="39">
        <v>24</v>
      </c>
      <c r="E39" s="31" t="s">
        <v>53</v>
      </c>
      <c r="F39" s="32"/>
      <c r="G39" s="33">
        <f t="shared" si="0"/>
        <v>0</v>
      </c>
      <c r="H39" s="34">
        <v>150000</v>
      </c>
      <c r="I39" s="43">
        <v>150000</v>
      </c>
      <c r="J39" s="34">
        <f t="shared" si="3"/>
        <v>0</v>
      </c>
      <c r="K39" s="34">
        <f t="shared" si="4"/>
        <v>0</v>
      </c>
      <c r="L39" s="34">
        <f t="shared" si="2"/>
        <v>0</v>
      </c>
      <c r="M39" s="36"/>
    </row>
    <row r="40" spans="1:13" s="3" customFormat="1" x14ac:dyDescent="0.3">
      <c r="A40" s="37">
        <f>1+A35</f>
        <v>16</v>
      </c>
      <c r="B40" s="38" t="s">
        <v>54</v>
      </c>
      <c r="C40" s="2"/>
      <c r="D40" s="30">
        <v>25</v>
      </c>
      <c r="E40" s="40" t="s">
        <v>55</v>
      </c>
      <c r="F40" s="32"/>
      <c r="G40" s="33">
        <f t="shared" si="0"/>
        <v>0</v>
      </c>
      <c r="H40" s="34">
        <v>195000</v>
      </c>
      <c r="I40" s="43">
        <v>195000</v>
      </c>
      <c r="J40" s="34">
        <f t="shared" si="3"/>
        <v>0</v>
      </c>
      <c r="K40" s="34">
        <f t="shared" si="4"/>
        <v>0</v>
      </c>
      <c r="L40" s="34">
        <f t="shared" si="2"/>
        <v>0</v>
      </c>
      <c r="M40" s="36"/>
    </row>
    <row r="41" spans="1:13" s="3" customFormat="1" x14ac:dyDescent="0.3">
      <c r="A41" s="37">
        <f>1+A40</f>
        <v>17</v>
      </c>
      <c r="B41" s="38" t="s">
        <v>56</v>
      </c>
      <c r="C41" s="45"/>
      <c r="D41" s="39">
        <v>26</v>
      </c>
      <c r="E41" s="31" t="s">
        <v>57</v>
      </c>
      <c r="F41" s="32"/>
      <c r="G41" s="33">
        <f t="shared" si="0"/>
        <v>0</v>
      </c>
      <c r="H41" s="34">
        <v>185000</v>
      </c>
      <c r="I41" s="43">
        <v>185000</v>
      </c>
      <c r="J41" s="34">
        <f t="shared" si="3"/>
        <v>0</v>
      </c>
      <c r="K41" s="34">
        <f t="shared" si="4"/>
        <v>0</v>
      </c>
      <c r="L41" s="34">
        <f t="shared" si="2"/>
        <v>0</v>
      </c>
      <c r="M41" s="36"/>
    </row>
    <row r="42" spans="1:13" s="3" customFormat="1" x14ac:dyDescent="0.3">
      <c r="A42" s="37"/>
      <c r="B42" s="38"/>
      <c r="C42" s="45"/>
      <c r="D42" s="39"/>
      <c r="E42" s="31" t="s">
        <v>58</v>
      </c>
      <c r="F42" s="32"/>
      <c r="G42" s="33">
        <f t="shared" si="0"/>
        <v>0</v>
      </c>
      <c r="H42" s="34">
        <v>195000</v>
      </c>
      <c r="I42" s="43">
        <v>195000</v>
      </c>
      <c r="J42" s="34">
        <f t="shared" si="3"/>
        <v>0</v>
      </c>
      <c r="K42" s="34">
        <f t="shared" si="4"/>
        <v>0</v>
      </c>
      <c r="L42" s="34">
        <f t="shared" si="2"/>
        <v>0</v>
      </c>
      <c r="M42" s="36"/>
    </row>
    <row r="43" spans="1:13" s="3" customFormat="1" x14ac:dyDescent="0.3">
      <c r="A43" s="37">
        <f>1+A41</f>
        <v>18</v>
      </c>
      <c r="B43" s="38" t="s">
        <v>59</v>
      </c>
      <c r="C43" s="45"/>
      <c r="D43" s="30">
        <v>27</v>
      </c>
      <c r="E43" s="40" t="s">
        <v>59</v>
      </c>
      <c r="F43" s="32">
        <v>205</v>
      </c>
      <c r="G43" s="41">
        <f t="shared" si="0"/>
        <v>3.3523682437515114E-2</v>
      </c>
      <c r="H43" s="34">
        <f>I43-(I43*6%)</f>
        <v>89300</v>
      </c>
      <c r="I43" s="35">
        <v>95000</v>
      </c>
      <c r="J43" s="34">
        <f>H43*F43</f>
        <v>18306500</v>
      </c>
      <c r="K43" s="42">
        <f>IF(ISERROR(+L43/F43),0,+L43/F43)</f>
        <v>84663.971882375845</v>
      </c>
      <c r="L43" s="42">
        <f t="shared" si="2"/>
        <v>17356114.235887047</v>
      </c>
      <c r="M43" s="36"/>
    </row>
    <row r="44" spans="1:13" s="3" customFormat="1" x14ac:dyDescent="0.3">
      <c r="A44" s="37"/>
      <c r="B44" s="38"/>
      <c r="C44" s="45"/>
      <c r="D44" s="30"/>
      <c r="E44" s="40" t="s">
        <v>60</v>
      </c>
      <c r="F44" s="32"/>
      <c r="G44" s="41">
        <f t="shared" si="0"/>
        <v>0</v>
      </c>
      <c r="H44" s="34">
        <v>57000</v>
      </c>
      <c r="I44" s="43">
        <v>57000</v>
      </c>
      <c r="J44" s="34">
        <f>H44*F44</f>
        <v>0</v>
      </c>
      <c r="K44" s="42">
        <f>IF(ISERROR(+L44/F44),0,+L44/F44)</f>
        <v>0</v>
      </c>
      <c r="L44" s="42">
        <f t="shared" si="2"/>
        <v>0</v>
      </c>
      <c r="M44" s="36"/>
    </row>
    <row r="45" spans="1:13" s="3" customFormat="1" x14ac:dyDescent="0.3">
      <c r="A45" s="37"/>
      <c r="B45" s="38"/>
      <c r="C45" s="45"/>
      <c r="D45" s="30"/>
      <c r="E45" s="40" t="s">
        <v>61</v>
      </c>
      <c r="F45" s="32"/>
      <c r="G45" s="41">
        <f t="shared" si="0"/>
        <v>0</v>
      </c>
      <c r="H45" s="34">
        <v>100000</v>
      </c>
      <c r="I45" s="43">
        <v>100000</v>
      </c>
      <c r="J45" s="34">
        <f>H45*F45</f>
        <v>0</v>
      </c>
      <c r="K45" s="42">
        <f>IF(ISERROR(+L45/F45),0,+L45/F45)</f>
        <v>0</v>
      </c>
      <c r="L45" s="42">
        <f t="shared" si="2"/>
        <v>0</v>
      </c>
      <c r="M45" s="36"/>
    </row>
    <row r="46" spans="1:13" s="3" customFormat="1" x14ac:dyDescent="0.3">
      <c r="A46" s="37">
        <f>1+A43</f>
        <v>19</v>
      </c>
      <c r="B46" s="38" t="s">
        <v>62</v>
      </c>
      <c r="C46" s="2"/>
      <c r="D46" s="39">
        <v>28</v>
      </c>
      <c r="E46" s="31" t="s">
        <v>63</v>
      </c>
      <c r="F46" s="32"/>
      <c r="G46" s="33">
        <f t="shared" si="0"/>
        <v>0</v>
      </c>
      <c r="H46" s="34">
        <v>294000</v>
      </c>
      <c r="I46" s="43">
        <v>294000</v>
      </c>
      <c r="J46" s="34">
        <f t="shared" si="3"/>
        <v>0</v>
      </c>
      <c r="K46" s="34">
        <f t="shared" si="4"/>
        <v>0</v>
      </c>
      <c r="L46" s="34">
        <f t="shared" si="2"/>
        <v>0</v>
      </c>
      <c r="M46" s="36"/>
    </row>
    <row r="47" spans="1:13" s="3" customFormat="1" x14ac:dyDescent="0.3">
      <c r="A47" s="37">
        <f>1+A12</f>
        <v>21</v>
      </c>
      <c r="B47" s="38" t="s">
        <v>64</v>
      </c>
      <c r="C47" s="2"/>
      <c r="D47" s="39">
        <v>30</v>
      </c>
      <c r="E47" s="31" t="s">
        <v>64</v>
      </c>
      <c r="F47" s="32"/>
      <c r="G47" s="33">
        <f t="shared" si="0"/>
        <v>0</v>
      </c>
      <c r="H47" s="34">
        <v>185000</v>
      </c>
      <c r="I47" s="43">
        <v>185000</v>
      </c>
      <c r="J47" s="34">
        <f t="shared" si="3"/>
        <v>0</v>
      </c>
      <c r="K47" s="34">
        <f t="shared" si="4"/>
        <v>0</v>
      </c>
      <c r="L47" s="34">
        <f t="shared" si="2"/>
        <v>0</v>
      </c>
      <c r="M47" s="36"/>
    </row>
    <row r="48" spans="1:13" s="3" customFormat="1" x14ac:dyDescent="0.3">
      <c r="A48" s="37"/>
      <c r="B48" s="38"/>
      <c r="C48" s="2"/>
      <c r="D48" s="30">
        <v>31</v>
      </c>
      <c r="E48" s="31" t="s">
        <v>65</v>
      </c>
      <c r="F48" s="32"/>
      <c r="G48" s="33">
        <f t="shared" si="0"/>
        <v>0</v>
      </c>
      <c r="H48" s="34">
        <v>170000</v>
      </c>
      <c r="I48" s="43">
        <v>185000</v>
      </c>
      <c r="J48" s="34">
        <f t="shared" si="3"/>
        <v>0</v>
      </c>
      <c r="K48" s="34">
        <f t="shared" si="4"/>
        <v>0</v>
      </c>
      <c r="L48" s="34">
        <f t="shared" si="2"/>
        <v>0</v>
      </c>
      <c r="M48" s="36"/>
    </row>
    <row r="49" spans="1:13" s="3" customFormat="1" x14ac:dyDescent="0.3">
      <c r="A49" s="37">
        <v>25</v>
      </c>
      <c r="B49" s="38" t="s">
        <v>66</v>
      </c>
      <c r="C49" s="2"/>
      <c r="D49" s="39">
        <v>32</v>
      </c>
      <c r="E49" s="40" t="s">
        <v>67</v>
      </c>
      <c r="F49" s="32"/>
      <c r="G49" s="41">
        <f t="shared" si="0"/>
        <v>0</v>
      </c>
      <c r="H49" s="34">
        <v>195000</v>
      </c>
      <c r="I49" s="43">
        <v>320000</v>
      </c>
      <c r="J49" s="34">
        <f t="shared" si="3"/>
        <v>0</v>
      </c>
      <c r="K49" s="34">
        <f t="shared" si="4"/>
        <v>0</v>
      </c>
      <c r="L49" s="34">
        <f t="shared" si="2"/>
        <v>0</v>
      </c>
      <c r="M49" s="36"/>
    </row>
    <row r="50" spans="1:13" s="3" customFormat="1" x14ac:dyDescent="0.3">
      <c r="A50" s="37">
        <v>26</v>
      </c>
      <c r="B50" s="38" t="s">
        <v>68</v>
      </c>
      <c r="C50" s="2"/>
      <c r="D50" s="30">
        <v>33</v>
      </c>
      <c r="E50" s="31" t="s">
        <v>69</v>
      </c>
      <c r="F50" s="32"/>
      <c r="G50" s="33">
        <f t="shared" si="0"/>
        <v>0</v>
      </c>
      <c r="H50" s="34">
        <v>185000</v>
      </c>
      <c r="I50" s="43">
        <v>185000</v>
      </c>
      <c r="J50" s="34">
        <f t="shared" si="3"/>
        <v>0</v>
      </c>
      <c r="K50" s="34">
        <f t="shared" si="4"/>
        <v>0</v>
      </c>
      <c r="L50" s="34">
        <f t="shared" si="2"/>
        <v>0</v>
      </c>
      <c r="M50" s="36"/>
    </row>
    <row r="51" spans="1:13" s="3" customFormat="1" x14ac:dyDescent="0.3">
      <c r="A51" s="37"/>
      <c r="B51" s="38"/>
      <c r="C51" s="2"/>
      <c r="D51" s="39">
        <v>34</v>
      </c>
      <c r="E51" s="31" t="s">
        <v>70</v>
      </c>
      <c r="F51" s="32"/>
      <c r="G51" s="33">
        <f t="shared" si="0"/>
        <v>0</v>
      </c>
      <c r="H51" s="34">
        <v>195000</v>
      </c>
      <c r="I51" s="43">
        <v>230000</v>
      </c>
      <c r="J51" s="34">
        <f t="shared" si="3"/>
        <v>0</v>
      </c>
      <c r="K51" s="34">
        <f t="shared" si="4"/>
        <v>0</v>
      </c>
      <c r="L51" s="34">
        <f t="shared" si="2"/>
        <v>0</v>
      </c>
      <c r="M51" s="36"/>
    </row>
    <row r="52" spans="1:13" s="3" customFormat="1" x14ac:dyDescent="0.3">
      <c r="A52" s="37">
        <f>1+A47</f>
        <v>22</v>
      </c>
      <c r="B52" s="38" t="s">
        <v>71</v>
      </c>
      <c r="C52" s="45"/>
      <c r="D52" s="30">
        <v>35</v>
      </c>
      <c r="E52" s="40" t="s">
        <v>71</v>
      </c>
      <c r="F52" s="32"/>
      <c r="G52" s="41">
        <f t="shared" si="0"/>
        <v>0</v>
      </c>
      <c r="H52" s="34">
        <v>35000</v>
      </c>
      <c r="I52" s="43"/>
      <c r="J52" s="34">
        <f t="shared" si="3"/>
        <v>0</v>
      </c>
      <c r="K52" s="34">
        <f t="shared" si="4"/>
        <v>0</v>
      </c>
      <c r="L52" s="34">
        <f t="shared" si="2"/>
        <v>0</v>
      </c>
      <c r="M52" s="36"/>
    </row>
    <row r="53" spans="1:13" s="3" customFormat="1" x14ac:dyDescent="0.3">
      <c r="A53" s="37"/>
      <c r="B53" s="38"/>
      <c r="C53" s="45"/>
      <c r="D53" s="39">
        <v>36</v>
      </c>
      <c r="E53" s="40" t="s">
        <v>72</v>
      </c>
      <c r="F53" s="32"/>
      <c r="G53" s="41">
        <f t="shared" si="0"/>
        <v>0</v>
      </c>
      <c r="H53" s="34">
        <v>150000</v>
      </c>
      <c r="I53" s="43">
        <v>150000</v>
      </c>
      <c r="J53" s="34">
        <f t="shared" si="3"/>
        <v>0</v>
      </c>
      <c r="K53" s="34">
        <f t="shared" si="4"/>
        <v>0</v>
      </c>
      <c r="L53" s="34">
        <f t="shared" si="2"/>
        <v>0</v>
      </c>
      <c r="M53" s="36"/>
    </row>
    <row r="54" spans="1:13" s="3" customFormat="1" x14ac:dyDescent="0.3">
      <c r="A54" s="37"/>
      <c r="B54" s="38"/>
      <c r="C54" s="45"/>
      <c r="D54" s="30">
        <v>37</v>
      </c>
      <c r="E54" s="40" t="s">
        <v>73</v>
      </c>
      <c r="F54" s="32"/>
      <c r="G54" s="41">
        <f t="shared" si="0"/>
        <v>0</v>
      </c>
      <c r="H54" s="34">
        <v>150000</v>
      </c>
      <c r="I54" s="43">
        <v>150000</v>
      </c>
      <c r="J54" s="34">
        <f t="shared" si="3"/>
        <v>0</v>
      </c>
      <c r="K54" s="34">
        <f t="shared" si="4"/>
        <v>0</v>
      </c>
      <c r="L54" s="34">
        <f t="shared" si="2"/>
        <v>0</v>
      </c>
      <c r="M54" s="36"/>
    </row>
    <row r="55" spans="1:13" s="3" customFormat="1" x14ac:dyDescent="0.3">
      <c r="A55" s="37"/>
      <c r="B55" s="38"/>
      <c r="C55" s="45"/>
      <c r="D55" s="39">
        <v>38</v>
      </c>
      <c r="E55" s="40" t="s">
        <v>74</v>
      </c>
      <c r="F55" s="32"/>
      <c r="G55" s="41">
        <f t="shared" si="0"/>
        <v>0</v>
      </c>
      <c r="H55" s="34">
        <v>150000</v>
      </c>
      <c r="I55" s="43">
        <v>150000</v>
      </c>
      <c r="J55" s="34">
        <f t="shared" si="3"/>
        <v>0</v>
      </c>
      <c r="K55" s="34">
        <f t="shared" si="4"/>
        <v>0</v>
      </c>
      <c r="L55" s="34">
        <f t="shared" si="2"/>
        <v>0</v>
      </c>
      <c r="M55" s="36"/>
    </row>
    <row r="56" spans="1:13" s="3" customFormat="1" x14ac:dyDescent="0.3">
      <c r="A56" s="37"/>
      <c r="B56" s="38"/>
      <c r="C56" s="45"/>
      <c r="D56" s="30">
        <v>39</v>
      </c>
      <c r="E56" s="40" t="s">
        <v>75</v>
      </c>
      <c r="F56" s="32"/>
      <c r="G56" s="41">
        <f t="shared" si="0"/>
        <v>0</v>
      </c>
      <c r="H56" s="34">
        <v>150000</v>
      </c>
      <c r="I56" s="43">
        <v>150000</v>
      </c>
      <c r="J56" s="34">
        <f t="shared" si="3"/>
        <v>0</v>
      </c>
      <c r="K56" s="42">
        <f t="shared" si="4"/>
        <v>0</v>
      </c>
      <c r="L56" s="42">
        <f t="shared" si="2"/>
        <v>0</v>
      </c>
      <c r="M56" s="36"/>
    </row>
    <row r="57" spans="1:13" s="3" customFormat="1" x14ac:dyDescent="0.3">
      <c r="A57" s="37"/>
      <c r="B57" s="38"/>
      <c r="C57" s="2"/>
      <c r="D57" s="39">
        <v>40</v>
      </c>
      <c r="E57" s="31" t="s">
        <v>76</v>
      </c>
      <c r="F57" s="32"/>
      <c r="G57" s="33">
        <f t="shared" si="0"/>
        <v>0</v>
      </c>
      <c r="H57" s="34">
        <v>140000</v>
      </c>
      <c r="I57" s="43">
        <v>150000</v>
      </c>
      <c r="J57" s="34">
        <f t="shared" si="3"/>
        <v>0</v>
      </c>
      <c r="K57" s="34">
        <f t="shared" si="4"/>
        <v>0</v>
      </c>
      <c r="L57" s="34">
        <f t="shared" si="2"/>
        <v>0</v>
      </c>
      <c r="M57" s="36"/>
    </row>
    <row r="58" spans="1:13" s="3" customFormat="1" x14ac:dyDescent="0.3">
      <c r="A58" s="37"/>
      <c r="B58" s="38"/>
      <c r="C58" s="2"/>
      <c r="D58" s="39"/>
      <c r="E58" s="31" t="s">
        <v>77</v>
      </c>
      <c r="F58" s="32"/>
      <c r="G58" s="33">
        <f t="shared" si="0"/>
        <v>0</v>
      </c>
      <c r="H58" s="34">
        <v>175500</v>
      </c>
      <c r="I58" s="43">
        <v>175500</v>
      </c>
      <c r="J58" s="34">
        <f t="shared" si="3"/>
        <v>0</v>
      </c>
      <c r="K58" s="34">
        <f t="shared" si="4"/>
        <v>0</v>
      </c>
      <c r="L58" s="34">
        <f t="shared" si="2"/>
        <v>0</v>
      </c>
      <c r="M58" s="36"/>
    </row>
    <row r="59" spans="1:13" s="3" customFormat="1" x14ac:dyDescent="0.3">
      <c r="A59" s="37"/>
      <c r="B59" s="38"/>
      <c r="C59" s="2"/>
      <c r="D59" s="30">
        <v>41</v>
      </c>
      <c r="E59" s="31" t="s">
        <v>78</v>
      </c>
      <c r="F59" s="32"/>
      <c r="G59" s="33">
        <f t="shared" si="0"/>
        <v>0</v>
      </c>
      <c r="H59" s="34">
        <v>140000</v>
      </c>
      <c r="I59" s="43">
        <v>140000</v>
      </c>
      <c r="J59" s="34">
        <f t="shared" si="3"/>
        <v>0</v>
      </c>
      <c r="K59" s="34">
        <f t="shared" si="4"/>
        <v>0</v>
      </c>
      <c r="L59" s="34">
        <f t="shared" si="2"/>
        <v>0</v>
      </c>
      <c r="M59" s="36"/>
    </row>
    <row r="60" spans="1:13" s="3" customFormat="1" x14ac:dyDescent="0.3">
      <c r="A60" s="37"/>
      <c r="B60" s="38"/>
      <c r="C60" s="2"/>
      <c r="D60" s="30"/>
      <c r="E60" s="31" t="s">
        <v>79</v>
      </c>
      <c r="F60" s="32"/>
      <c r="G60" s="33">
        <f t="shared" si="0"/>
        <v>0</v>
      </c>
      <c r="H60" s="34">
        <v>138000</v>
      </c>
      <c r="I60" s="43">
        <v>138000</v>
      </c>
      <c r="J60" s="34">
        <f t="shared" si="3"/>
        <v>0</v>
      </c>
      <c r="K60" s="34">
        <f t="shared" si="4"/>
        <v>0</v>
      </c>
      <c r="L60" s="34">
        <f t="shared" si="2"/>
        <v>0</v>
      </c>
      <c r="M60" s="36"/>
    </row>
    <row r="61" spans="1:13" s="3" customFormat="1" x14ac:dyDescent="0.3">
      <c r="A61" s="37"/>
      <c r="B61" s="38"/>
      <c r="C61" s="2"/>
      <c r="D61" s="39">
        <v>42</v>
      </c>
      <c r="E61" s="31" t="s">
        <v>80</v>
      </c>
      <c r="F61" s="32"/>
      <c r="G61" s="33">
        <f t="shared" si="0"/>
        <v>0</v>
      </c>
      <c r="H61" s="34">
        <v>135000</v>
      </c>
      <c r="I61" s="43">
        <v>148500</v>
      </c>
      <c r="J61" s="34">
        <f t="shared" si="3"/>
        <v>0</v>
      </c>
      <c r="K61" s="34">
        <f t="shared" si="4"/>
        <v>0</v>
      </c>
      <c r="L61" s="34">
        <f t="shared" si="2"/>
        <v>0</v>
      </c>
      <c r="M61" s="36"/>
    </row>
    <row r="62" spans="1:13" s="3" customFormat="1" x14ac:dyDescent="0.3">
      <c r="A62" s="37"/>
      <c r="B62" s="38"/>
      <c r="C62" s="2"/>
      <c r="D62" s="39"/>
      <c r="E62" s="31" t="s">
        <v>81</v>
      </c>
      <c r="F62" s="32"/>
      <c r="G62" s="33">
        <f t="shared" si="0"/>
        <v>0</v>
      </c>
      <c r="H62" s="34">
        <v>160000</v>
      </c>
      <c r="I62" s="43">
        <v>195000</v>
      </c>
      <c r="J62" s="34">
        <f t="shared" si="3"/>
        <v>0</v>
      </c>
      <c r="K62" s="34">
        <f t="shared" si="4"/>
        <v>0</v>
      </c>
      <c r="L62" s="34">
        <f t="shared" si="2"/>
        <v>0</v>
      </c>
      <c r="M62" s="36"/>
    </row>
    <row r="63" spans="1:13" s="3" customFormat="1" x14ac:dyDescent="0.3">
      <c r="A63" s="37"/>
      <c r="B63" s="38"/>
      <c r="C63" s="2"/>
      <c r="D63" s="39"/>
      <c r="E63" s="31" t="s">
        <v>82</v>
      </c>
      <c r="F63" s="32"/>
      <c r="G63" s="33">
        <f t="shared" si="0"/>
        <v>0</v>
      </c>
      <c r="H63" s="34">
        <v>155000</v>
      </c>
      <c r="I63" s="43">
        <v>195000</v>
      </c>
      <c r="J63" s="34">
        <f t="shared" si="3"/>
        <v>0</v>
      </c>
      <c r="K63" s="34">
        <f t="shared" si="4"/>
        <v>0</v>
      </c>
      <c r="L63" s="34">
        <f t="shared" si="2"/>
        <v>0</v>
      </c>
      <c r="M63" s="36"/>
    </row>
    <row r="64" spans="1:13" s="3" customFormat="1" x14ac:dyDescent="0.3">
      <c r="A64" s="37">
        <v>23</v>
      </c>
      <c r="B64" s="38" t="s">
        <v>83</v>
      </c>
      <c r="C64" s="2"/>
      <c r="D64" s="30">
        <v>43</v>
      </c>
      <c r="E64" s="40" t="s">
        <v>83</v>
      </c>
      <c r="F64" s="32">
        <v>157.66</v>
      </c>
      <c r="G64" s="33">
        <f t="shared" si="0"/>
        <v>2.57821647468226E-2</v>
      </c>
      <c r="H64" s="34">
        <f>I64-(I64*6%)</f>
        <v>126900</v>
      </c>
      <c r="I64" s="35">
        <v>135000</v>
      </c>
      <c r="J64" s="34">
        <f t="shared" si="3"/>
        <v>20007054</v>
      </c>
      <c r="K64" s="34">
        <f t="shared" si="4"/>
        <v>120311.9600433762</v>
      </c>
      <c r="L64" s="34">
        <f t="shared" si="2"/>
        <v>18968383.620438691</v>
      </c>
      <c r="M64" s="36"/>
    </row>
    <row r="65" spans="1:13" s="3" customFormat="1" x14ac:dyDescent="0.3">
      <c r="A65" s="37">
        <v>24</v>
      </c>
      <c r="B65" s="38" t="s">
        <v>84</v>
      </c>
      <c r="C65" s="2"/>
      <c r="D65" s="39">
        <v>44</v>
      </c>
      <c r="E65" s="31" t="s">
        <v>85</v>
      </c>
      <c r="F65" s="32"/>
      <c r="G65" s="33">
        <f t="shared" si="0"/>
        <v>0</v>
      </c>
      <c r="H65" s="34">
        <f>I65-(I65*5%)</f>
        <v>142500</v>
      </c>
      <c r="I65" s="43">
        <v>150000</v>
      </c>
      <c r="J65" s="34">
        <f t="shared" si="3"/>
        <v>0</v>
      </c>
      <c r="K65" s="34">
        <f t="shared" si="4"/>
        <v>0</v>
      </c>
      <c r="L65" s="34">
        <f t="shared" si="2"/>
        <v>0</v>
      </c>
      <c r="M65" s="36"/>
    </row>
    <row r="66" spans="1:13" s="3" customFormat="1" x14ac:dyDescent="0.3">
      <c r="A66" s="37">
        <v>27</v>
      </c>
      <c r="B66" s="38" t="s">
        <v>86</v>
      </c>
      <c r="C66" s="2"/>
      <c r="D66" s="30">
        <v>45</v>
      </c>
      <c r="E66" s="40" t="s">
        <v>86</v>
      </c>
      <c r="F66" s="32">
        <v>84.12</v>
      </c>
      <c r="G66" s="41">
        <f t="shared" si="0"/>
        <v>1.3756156910457423E-2</v>
      </c>
      <c r="H66" s="34">
        <v>58000</v>
      </c>
      <c r="I66" s="43">
        <v>0</v>
      </c>
      <c r="J66" s="34">
        <f t="shared" si="3"/>
        <v>4878960</v>
      </c>
      <c r="K66" s="34">
        <f t="shared" si="4"/>
        <v>54988.917907926072</v>
      </c>
      <c r="L66" s="34">
        <f t="shared" si="2"/>
        <v>4625667.7744147414</v>
      </c>
      <c r="M66" s="36"/>
    </row>
    <row r="67" spans="1:13" s="3" customFormat="1" x14ac:dyDescent="0.3">
      <c r="A67" s="37">
        <v>28</v>
      </c>
      <c r="B67" s="38" t="s">
        <v>87</v>
      </c>
      <c r="C67" s="2"/>
      <c r="D67" s="39">
        <v>46</v>
      </c>
      <c r="E67" s="31" t="s">
        <v>87</v>
      </c>
      <c r="F67" s="32">
        <v>8.4600000000000009</v>
      </c>
      <c r="G67" s="33">
        <f t="shared" si="0"/>
        <v>1.3834651386408678E-3</v>
      </c>
      <c r="H67" s="34">
        <v>43000</v>
      </c>
      <c r="I67" s="43">
        <v>0</v>
      </c>
      <c r="J67" s="34">
        <f t="shared" si="3"/>
        <v>363780.00000000006</v>
      </c>
      <c r="K67" s="34">
        <f t="shared" si="4"/>
        <v>40767.646035186575</v>
      </c>
      <c r="L67" s="34">
        <f t="shared" si="2"/>
        <v>344894.28545767849</v>
      </c>
      <c r="M67" s="36"/>
    </row>
    <row r="68" spans="1:13" s="3" customFormat="1" x14ac:dyDescent="0.3">
      <c r="A68" s="37">
        <v>29</v>
      </c>
      <c r="B68" s="38" t="s">
        <v>88</v>
      </c>
      <c r="C68" s="2"/>
      <c r="D68" s="30">
        <v>47</v>
      </c>
      <c r="E68" s="40" t="s">
        <v>88</v>
      </c>
      <c r="F68" s="32">
        <v>138.80000000000001</v>
      </c>
      <c r="G68" s="41">
        <f t="shared" si="0"/>
        <v>2.2697985962571214E-2</v>
      </c>
      <c r="H68" s="34">
        <v>39000</v>
      </c>
      <c r="I68" s="43">
        <v>0</v>
      </c>
      <c r="J68" s="34">
        <f t="shared" si="3"/>
        <v>5413200</v>
      </c>
      <c r="K68" s="34">
        <f t="shared" si="4"/>
        <v>36975.306869122702</v>
      </c>
      <c r="L68" s="34">
        <f t="shared" si="2"/>
        <v>5132172.5934342314</v>
      </c>
      <c r="M68" s="36"/>
    </row>
    <row r="69" spans="1:13" s="3" customFormat="1" x14ac:dyDescent="0.3">
      <c r="A69" s="37">
        <v>30</v>
      </c>
      <c r="B69" s="38" t="s">
        <v>89</v>
      </c>
      <c r="C69" s="2"/>
      <c r="D69" s="39">
        <v>48</v>
      </c>
      <c r="E69" s="31" t="s">
        <v>89</v>
      </c>
      <c r="F69" s="32">
        <v>132.30000000000001</v>
      </c>
      <c r="G69" s="33">
        <f t="shared" si="0"/>
        <v>2.1635039934064636E-2</v>
      </c>
      <c r="H69" s="34">
        <v>20000</v>
      </c>
      <c r="I69" s="43">
        <v>0</v>
      </c>
      <c r="J69" s="34">
        <f t="shared" si="3"/>
        <v>2646000</v>
      </c>
      <c r="K69" s="34">
        <f t="shared" si="4"/>
        <v>18961.695830319335</v>
      </c>
      <c r="L69" s="34">
        <f t="shared" si="2"/>
        <v>2508632.3583512483</v>
      </c>
      <c r="M69" s="36"/>
    </row>
    <row r="70" spans="1:13" s="3" customFormat="1" x14ac:dyDescent="0.3">
      <c r="A70" s="37">
        <v>31</v>
      </c>
      <c r="B70" s="38" t="s">
        <v>90</v>
      </c>
      <c r="C70" s="2"/>
      <c r="D70" s="30">
        <v>49</v>
      </c>
      <c r="E70" s="40" t="s">
        <v>90</v>
      </c>
      <c r="F70" s="32">
        <v>176.54</v>
      </c>
      <c r="G70" s="41">
        <f t="shared" si="0"/>
        <v>2.8869614134238625E-2</v>
      </c>
      <c r="H70" s="34">
        <v>49000</v>
      </c>
      <c r="I70" s="43">
        <v>0</v>
      </c>
      <c r="J70" s="34">
        <f t="shared" si="3"/>
        <v>8650460</v>
      </c>
      <c r="K70" s="42">
        <f t="shared" si="4"/>
        <v>46456.154784282378</v>
      </c>
      <c r="L70" s="42">
        <f t="shared" si="2"/>
        <v>8201369.5656172112</v>
      </c>
      <c r="M70" s="36"/>
    </row>
    <row r="71" spans="1:13" s="3" customFormat="1" x14ac:dyDescent="0.3">
      <c r="A71" s="37"/>
      <c r="B71" s="38"/>
      <c r="C71" s="2"/>
      <c r="D71" s="30"/>
      <c r="E71" s="40" t="s">
        <v>91</v>
      </c>
      <c r="F71" s="32">
        <v>16.72</v>
      </c>
      <c r="G71" s="41">
        <f t="shared" ref="G71:G86" si="6">+F71/F$87</f>
        <v>2.7342242456353792E-3</v>
      </c>
      <c r="H71" s="34">
        <v>50000</v>
      </c>
      <c r="I71" s="43">
        <v>0</v>
      </c>
      <c r="J71" s="34">
        <f t="shared" si="3"/>
        <v>836000</v>
      </c>
      <c r="K71" s="42">
        <f t="shared" si="4"/>
        <v>47404.239575798347</v>
      </c>
      <c r="L71" s="42">
        <f t="shared" ref="L71:L86" si="7">+(J71/$J$90)*$J$91</f>
        <v>792598.88570734835</v>
      </c>
      <c r="M71" s="36"/>
    </row>
    <row r="72" spans="1:13" s="3" customFormat="1" x14ac:dyDescent="0.3">
      <c r="A72" s="37">
        <v>32</v>
      </c>
      <c r="B72" s="38" t="s">
        <v>92</v>
      </c>
      <c r="C72" s="2"/>
      <c r="D72" s="39">
        <v>50</v>
      </c>
      <c r="E72" s="31" t="s">
        <v>92</v>
      </c>
      <c r="F72" s="32">
        <v>439.4</v>
      </c>
      <c r="G72" s="33">
        <f t="shared" si="6"/>
        <v>7.1855151527044595E-2</v>
      </c>
      <c r="H72" s="34">
        <v>6000</v>
      </c>
      <c r="I72" s="43">
        <v>0</v>
      </c>
      <c r="J72" s="34">
        <f t="shared" si="3"/>
        <v>2636400</v>
      </c>
      <c r="K72" s="34">
        <f t="shared" si="4"/>
        <v>5688.5087490958012</v>
      </c>
      <c r="L72" s="34">
        <f t="shared" si="7"/>
        <v>2499530.7443526951</v>
      </c>
      <c r="M72" s="36"/>
    </row>
    <row r="73" spans="1:13" s="3" customFormat="1" x14ac:dyDescent="0.3">
      <c r="A73" s="37">
        <v>33</v>
      </c>
      <c r="B73" s="38" t="s">
        <v>93</v>
      </c>
      <c r="C73" s="2"/>
      <c r="D73" s="30">
        <v>51</v>
      </c>
      <c r="E73" s="40" t="s">
        <v>93</v>
      </c>
      <c r="F73" s="32">
        <v>30.64</v>
      </c>
      <c r="G73" s="41">
        <f t="shared" si="6"/>
        <v>5.0105640482217715E-3</v>
      </c>
      <c r="H73" s="34">
        <v>40000</v>
      </c>
      <c r="I73" s="43">
        <v>0</v>
      </c>
      <c r="J73" s="34">
        <f t="shared" si="3"/>
        <v>1225600</v>
      </c>
      <c r="K73" s="42">
        <f t="shared" si="4"/>
        <v>37923.39166063867</v>
      </c>
      <c r="L73" s="42">
        <f t="shared" si="7"/>
        <v>1161972.720481969</v>
      </c>
      <c r="M73" s="36"/>
    </row>
    <row r="74" spans="1:13" s="3" customFormat="1" x14ac:dyDescent="0.3">
      <c r="A74" s="37"/>
      <c r="B74" s="38"/>
      <c r="C74" s="2"/>
      <c r="D74" s="39">
        <v>52</v>
      </c>
      <c r="E74" s="40" t="s">
        <v>94</v>
      </c>
      <c r="F74" s="32">
        <v>1</v>
      </c>
      <c r="G74" s="41">
        <f t="shared" si="6"/>
        <v>1.6353015823178106E-4</v>
      </c>
      <c r="H74" s="34">
        <v>60000</v>
      </c>
      <c r="I74" s="43">
        <v>0</v>
      </c>
      <c r="J74" s="34">
        <f t="shared" si="3"/>
        <v>60000</v>
      </c>
      <c r="K74" s="42">
        <f t="shared" si="4"/>
        <v>56885.087490958016</v>
      </c>
      <c r="L74" s="42">
        <f t="shared" si="7"/>
        <v>56885.087490958016</v>
      </c>
      <c r="M74" s="36"/>
    </row>
    <row r="75" spans="1:13" s="3" customFormat="1" x14ac:dyDescent="0.3">
      <c r="A75" s="37">
        <v>34</v>
      </c>
      <c r="B75" s="38" t="s">
        <v>95</v>
      </c>
      <c r="C75" s="2"/>
      <c r="D75" s="30">
        <v>53</v>
      </c>
      <c r="E75" s="31" t="s">
        <v>95</v>
      </c>
      <c r="F75" s="32">
        <v>112.96</v>
      </c>
      <c r="G75" s="33">
        <f t="shared" si="6"/>
        <v>1.8472366673861988E-2</v>
      </c>
      <c r="H75" s="34">
        <v>43000</v>
      </c>
      <c r="I75" s="43">
        <v>0</v>
      </c>
      <c r="J75" s="34">
        <f t="shared" si="3"/>
        <v>4857280</v>
      </c>
      <c r="K75" s="34">
        <f t="shared" si="4"/>
        <v>40767.646035186583</v>
      </c>
      <c r="L75" s="34">
        <f t="shared" si="7"/>
        <v>4605113.2961346759</v>
      </c>
      <c r="M75" s="36"/>
    </row>
    <row r="76" spans="1:13" s="3" customFormat="1" x14ac:dyDescent="0.3">
      <c r="A76" s="37">
        <v>35</v>
      </c>
      <c r="B76" s="38" t="s">
        <v>96</v>
      </c>
      <c r="C76" s="2"/>
      <c r="D76" s="39">
        <v>54</v>
      </c>
      <c r="E76" s="40" t="s">
        <v>96</v>
      </c>
      <c r="F76" s="32">
        <v>52.4</v>
      </c>
      <c r="G76" s="41">
        <f t="shared" si="6"/>
        <v>8.5689802913453267E-3</v>
      </c>
      <c r="H76" s="34">
        <v>69000</v>
      </c>
      <c r="I76" s="43">
        <v>0</v>
      </c>
      <c r="J76" s="34">
        <f t="shared" si="3"/>
        <v>3615600</v>
      </c>
      <c r="K76" s="42">
        <f t="shared" si="4"/>
        <v>65417.850614601717</v>
      </c>
      <c r="L76" s="42">
        <f t="shared" si="7"/>
        <v>3427895.3722051298</v>
      </c>
      <c r="M76" s="36"/>
    </row>
    <row r="77" spans="1:13" s="3" customFormat="1" x14ac:dyDescent="0.3">
      <c r="A77" s="37">
        <v>36</v>
      </c>
      <c r="B77" s="38" t="s">
        <v>97</v>
      </c>
      <c r="C77" s="2"/>
      <c r="D77" s="30">
        <v>55</v>
      </c>
      <c r="E77" s="31" t="s">
        <v>97</v>
      </c>
      <c r="F77" s="32">
        <v>92.6</v>
      </c>
      <c r="G77" s="33">
        <f t="shared" si="6"/>
        <v>1.5142892652262926E-2</v>
      </c>
      <c r="H77" s="34">
        <v>37000</v>
      </c>
      <c r="I77" s="43">
        <v>0</v>
      </c>
      <c r="J77" s="34">
        <f t="shared" si="3"/>
        <v>3426200</v>
      </c>
      <c r="K77" s="34">
        <f t="shared" si="4"/>
        <v>35079.13728609078</v>
      </c>
      <c r="L77" s="34">
        <f t="shared" si="7"/>
        <v>3248328.1126920059</v>
      </c>
      <c r="M77" s="36"/>
    </row>
    <row r="78" spans="1:13" s="3" customFormat="1" x14ac:dyDescent="0.3">
      <c r="A78" s="37">
        <v>37</v>
      </c>
      <c r="B78" s="38" t="s">
        <v>98</v>
      </c>
      <c r="C78" s="2"/>
      <c r="D78" s="39">
        <v>56</v>
      </c>
      <c r="E78" s="40" t="s">
        <v>98</v>
      </c>
      <c r="F78" s="32">
        <v>57.02</v>
      </c>
      <c r="G78" s="41">
        <f t="shared" si="6"/>
        <v>9.3244896223761559E-3</v>
      </c>
      <c r="H78" s="34">
        <v>69000</v>
      </c>
      <c r="I78" s="43">
        <v>105000</v>
      </c>
      <c r="J78" s="34">
        <f t="shared" si="3"/>
        <v>3934380</v>
      </c>
      <c r="K78" s="42">
        <f t="shared" si="4"/>
        <v>65417.85061460171</v>
      </c>
      <c r="L78" s="42">
        <f t="shared" si="7"/>
        <v>3730125.8420445896</v>
      </c>
      <c r="M78" s="36"/>
    </row>
    <row r="79" spans="1:13" s="3" customFormat="1" x14ac:dyDescent="0.3">
      <c r="A79" s="37">
        <v>38</v>
      </c>
      <c r="B79" s="38" t="s">
        <v>99</v>
      </c>
      <c r="C79" s="2"/>
      <c r="D79" s="30">
        <v>57</v>
      </c>
      <c r="E79" s="31" t="s">
        <v>99</v>
      </c>
      <c r="F79" s="32">
        <v>66.14</v>
      </c>
      <c r="G79" s="33">
        <f t="shared" si="6"/>
        <v>1.0815884665449998E-2</v>
      </c>
      <c r="H79" s="34">
        <f>I79-(I79*6%)</f>
        <v>51700</v>
      </c>
      <c r="I79" s="35">
        <v>55000</v>
      </c>
      <c r="J79" s="34">
        <f t="shared" si="3"/>
        <v>3419438</v>
      </c>
      <c r="K79" s="34">
        <f t="shared" si="4"/>
        <v>49015.983721375494</v>
      </c>
      <c r="L79" s="34">
        <f t="shared" si="7"/>
        <v>3241917.163331775</v>
      </c>
      <c r="M79" s="36"/>
    </row>
    <row r="80" spans="1:13" s="3" customFormat="1" x14ac:dyDescent="0.3">
      <c r="A80" s="37">
        <v>39</v>
      </c>
      <c r="B80" s="38" t="s">
        <v>100</v>
      </c>
      <c r="C80" s="2"/>
      <c r="D80" s="39">
        <v>58</v>
      </c>
      <c r="E80" s="40" t="s">
        <v>100</v>
      </c>
      <c r="F80" s="32"/>
      <c r="G80" s="41">
        <f t="shared" si="6"/>
        <v>0</v>
      </c>
      <c r="H80" s="34">
        <v>132000</v>
      </c>
      <c r="I80" s="43">
        <v>0</v>
      </c>
      <c r="J80" s="34">
        <f t="shared" si="3"/>
        <v>0</v>
      </c>
      <c r="K80" s="42">
        <f>IF(ISERROR(+L80/F80),0,+L80/F80)</f>
        <v>0</v>
      </c>
      <c r="L80" s="42">
        <f t="shared" si="7"/>
        <v>0</v>
      </c>
      <c r="M80" s="36"/>
    </row>
    <row r="81" spans="1:13" s="3" customFormat="1" x14ac:dyDescent="0.3">
      <c r="A81" s="37">
        <v>40</v>
      </c>
      <c r="B81" s="38" t="s">
        <v>101</v>
      </c>
      <c r="C81" s="2"/>
      <c r="D81" s="30">
        <v>59</v>
      </c>
      <c r="E81" s="31" t="s">
        <v>101</v>
      </c>
      <c r="F81" s="32">
        <v>29.1</v>
      </c>
      <c r="G81" s="33">
        <f t="shared" si="6"/>
        <v>4.758727604544829E-3</v>
      </c>
      <c r="H81" s="34">
        <f>I81-(I81*6%)</f>
        <v>192700</v>
      </c>
      <c r="I81" s="35">
        <v>205000</v>
      </c>
      <c r="J81" s="34">
        <f t="shared" si="3"/>
        <v>5607570</v>
      </c>
      <c r="K81" s="34">
        <f t="shared" si="4"/>
        <v>182695.93932512679</v>
      </c>
      <c r="L81" s="34">
        <f t="shared" si="7"/>
        <v>5316451.83436119</v>
      </c>
      <c r="M81" s="36"/>
    </row>
    <row r="82" spans="1:13" s="3" customFormat="1" x14ac:dyDescent="0.3">
      <c r="A82" s="37"/>
      <c r="B82" s="38"/>
      <c r="C82" s="2"/>
      <c r="D82" s="39">
        <v>60</v>
      </c>
      <c r="E82" s="31" t="s">
        <v>102</v>
      </c>
      <c r="F82" s="32">
        <v>19.36</v>
      </c>
      <c r="G82" s="33">
        <f t="shared" si="6"/>
        <v>3.1659438633672814E-3</v>
      </c>
      <c r="H82" s="34">
        <v>29000</v>
      </c>
      <c r="I82" s="43">
        <v>0</v>
      </c>
      <c r="J82" s="34">
        <f t="shared" si="3"/>
        <v>561440</v>
      </c>
      <c r="K82" s="34">
        <f t="shared" si="4"/>
        <v>27494.458953963043</v>
      </c>
      <c r="L82" s="34">
        <f t="shared" si="7"/>
        <v>532292.72534872452</v>
      </c>
      <c r="M82" s="36"/>
    </row>
    <row r="83" spans="1:13" s="3" customFormat="1" x14ac:dyDescent="0.3">
      <c r="A83" s="37">
        <v>41</v>
      </c>
      <c r="B83" s="38" t="s">
        <v>103</v>
      </c>
      <c r="C83" s="2"/>
      <c r="D83" s="30">
        <v>61</v>
      </c>
      <c r="E83" s="40" t="s">
        <v>103</v>
      </c>
      <c r="F83" s="32">
        <v>452.92</v>
      </c>
      <c r="G83" s="33">
        <f t="shared" si="6"/>
        <v>7.4066079266338278E-2</v>
      </c>
      <c r="H83" s="34">
        <v>40000</v>
      </c>
      <c r="I83" s="43">
        <v>0</v>
      </c>
      <c r="J83" s="34">
        <f t="shared" si="3"/>
        <v>18116800</v>
      </c>
      <c r="K83" s="42">
        <f t="shared" si="4"/>
        <v>37923.39166063867</v>
      </c>
      <c r="L83" s="42">
        <f t="shared" si="7"/>
        <v>17176262.550936468</v>
      </c>
      <c r="M83" s="36"/>
    </row>
    <row r="84" spans="1:13" s="3" customFormat="1" x14ac:dyDescent="0.3">
      <c r="A84" s="37"/>
      <c r="B84" s="38"/>
      <c r="C84" s="2"/>
      <c r="D84" s="30"/>
      <c r="E84" s="40" t="s">
        <v>104</v>
      </c>
      <c r="F84" s="32"/>
      <c r="G84" s="33">
        <f t="shared" si="6"/>
        <v>0</v>
      </c>
      <c r="H84" s="34">
        <v>74000</v>
      </c>
      <c r="I84" s="43">
        <v>0</v>
      </c>
      <c r="J84" s="34">
        <f t="shared" si="3"/>
        <v>0</v>
      </c>
      <c r="K84" s="42">
        <f t="shared" si="4"/>
        <v>0</v>
      </c>
      <c r="L84" s="42">
        <f t="shared" si="7"/>
        <v>0</v>
      </c>
      <c r="M84" s="36"/>
    </row>
    <row r="85" spans="1:13" s="3" customFormat="1" x14ac:dyDescent="0.3">
      <c r="A85" s="37"/>
      <c r="B85" s="38"/>
      <c r="C85" s="2"/>
      <c r="D85" s="30"/>
      <c r="E85" s="40" t="s">
        <v>105</v>
      </c>
      <c r="F85" s="32"/>
      <c r="G85" s="33">
        <f t="shared" si="6"/>
        <v>0</v>
      </c>
      <c r="H85" s="34">
        <v>35000</v>
      </c>
      <c r="I85" s="43">
        <v>0</v>
      </c>
      <c r="J85" s="34">
        <f t="shared" si="3"/>
        <v>0</v>
      </c>
      <c r="K85" s="42">
        <f t="shared" si="4"/>
        <v>0</v>
      </c>
      <c r="L85" s="42">
        <f t="shared" si="7"/>
        <v>0</v>
      </c>
      <c r="M85" s="36"/>
    </row>
    <row r="86" spans="1:13" s="3" customFormat="1" x14ac:dyDescent="0.3">
      <c r="A86" s="37"/>
      <c r="B86" s="38"/>
      <c r="C86" s="2"/>
      <c r="D86" s="39">
        <v>62</v>
      </c>
      <c r="E86" s="40" t="s">
        <v>106</v>
      </c>
      <c r="F86" s="32"/>
      <c r="G86" s="33">
        <f t="shared" si="6"/>
        <v>0</v>
      </c>
      <c r="H86" s="34">
        <f>I86-(I86*5%)</f>
        <v>42750</v>
      </c>
      <c r="I86" s="43">
        <v>45000</v>
      </c>
      <c r="J86" s="34">
        <f t="shared" si="3"/>
        <v>0</v>
      </c>
      <c r="K86" s="42">
        <f t="shared" si="4"/>
        <v>0</v>
      </c>
      <c r="L86" s="42">
        <f t="shared" si="7"/>
        <v>0</v>
      </c>
      <c r="M86" s="36"/>
    </row>
    <row r="87" spans="1:13" s="3" customFormat="1" x14ac:dyDescent="0.3">
      <c r="A87" s="37"/>
      <c r="B87" s="46"/>
      <c r="C87" s="2"/>
      <c r="D87" s="31"/>
      <c r="E87" s="31"/>
      <c r="F87" s="47">
        <f>SUM(F6:F86)</f>
        <v>6115.0800000000017</v>
      </c>
      <c r="G87" s="48">
        <f>F87/F91</f>
        <v>0.56163482733284364</v>
      </c>
      <c r="H87" s="34">
        <f>+I87*0.935</f>
        <v>0</v>
      </c>
      <c r="I87" s="34"/>
      <c r="J87" s="49">
        <f>SUM(J6:J86)</f>
        <v>652209291.70000005</v>
      </c>
      <c r="K87" s="49"/>
      <c r="L87" s="49"/>
      <c r="M87" s="50"/>
    </row>
    <row r="88" spans="1:13" s="3" customFormat="1" x14ac:dyDescent="0.3">
      <c r="A88" s="37">
        <v>42</v>
      </c>
      <c r="B88" s="38" t="s">
        <v>107</v>
      </c>
      <c r="C88" s="2"/>
      <c r="D88" s="39">
        <f>+D86+1</f>
        <v>63</v>
      </c>
      <c r="E88" s="40" t="s">
        <v>108</v>
      </c>
      <c r="F88" s="51">
        <v>6195.82</v>
      </c>
      <c r="G88" s="41">
        <f>+F88/F$87</f>
        <v>1.0132034249756336</v>
      </c>
      <c r="H88" s="34">
        <v>7700</v>
      </c>
      <c r="I88" s="43">
        <v>0</v>
      </c>
      <c r="J88" s="34">
        <f>H88*F88</f>
        <v>47707814</v>
      </c>
      <c r="K88" s="42">
        <f>IF(ISERROR(+L88/F88),0,+L88/F88)</f>
        <v>7300.2528946729453</v>
      </c>
      <c r="L88" s="42">
        <f>+(J88/$J$90)*$J$91</f>
        <v>45231052.889872529</v>
      </c>
      <c r="M88" s="50"/>
    </row>
    <row r="89" spans="1:13" s="3" customFormat="1" x14ac:dyDescent="0.3">
      <c r="A89" s="37">
        <v>43</v>
      </c>
      <c r="B89" s="38" t="s">
        <v>109</v>
      </c>
      <c r="C89" s="2"/>
      <c r="D89" s="30">
        <f>1+D88</f>
        <v>64</v>
      </c>
      <c r="E89" s="31" t="s">
        <v>110</v>
      </c>
      <c r="F89" s="51">
        <v>775.9</v>
      </c>
      <c r="G89" s="33">
        <f>+F89/F$87</f>
        <v>0.12688304977203893</v>
      </c>
      <c r="H89" s="34">
        <v>23000</v>
      </c>
      <c r="I89" s="43"/>
      <c r="J89" s="34">
        <f>H89*F89</f>
        <v>17845700</v>
      </c>
      <c r="K89" s="34">
        <f>IF(ISERROR(+L89/F89),0,+L89/F89)</f>
        <v>21805.95020486724</v>
      </c>
      <c r="L89" s="34">
        <f>+(J89/$J$90)*$J$91</f>
        <v>16919236.763956491</v>
      </c>
      <c r="M89" s="50"/>
    </row>
    <row r="90" spans="1:13" s="3" customFormat="1" x14ac:dyDescent="0.3">
      <c r="A90" s="37"/>
      <c r="B90" s="38"/>
      <c r="C90" s="2"/>
      <c r="D90" s="52"/>
      <c r="E90" s="53"/>
      <c r="F90" s="54"/>
      <c r="G90" s="55"/>
      <c r="H90" s="56"/>
      <c r="I90" s="57" t="s">
        <v>111</v>
      </c>
      <c r="J90" s="58">
        <f>SUM(J87:J89)</f>
        <v>717762805.70000005</v>
      </c>
      <c r="K90" s="58"/>
      <c r="L90" s="59"/>
    </row>
    <row r="91" spans="1:13" s="3" customFormat="1" x14ac:dyDescent="0.3">
      <c r="A91" s="60"/>
      <c r="B91" s="61" t="s">
        <v>112</v>
      </c>
      <c r="C91" s="2"/>
      <c r="D91" s="62"/>
      <c r="E91" s="63" t="s">
        <v>113</v>
      </c>
      <c r="F91" s="64">
        <v>10888</v>
      </c>
      <c r="G91" s="4"/>
      <c r="H91" s="5"/>
      <c r="I91" s="65" t="s">
        <v>114</v>
      </c>
      <c r="J91" s="5">
        <f>F91*F93</f>
        <v>680500000</v>
      </c>
      <c r="K91" s="5"/>
      <c r="L91" s="66"/>
    </row>
    <row r="92" spans="1:13" s="3" customFormat="1" x14ac:dyDescent="0.3">
      <c r="A92" s="37"/>
      <c r="B92" s="61" t="s">
        <v>115</v>
      </c>
      <c r="C92" s="2"/>
      <c r="D92" s="62"/>
      <c r="E92" s="63" t="s">
        <v>116</v>
      </c>
      <c r="F92" s="3">
        <f>F91/20</f>
        <v>544.4</v>
      </c>
      <c r="G92" s="4"/>
      <c r="H92" s="5"/>
      <c r="I92" s="65" t="s">
        <v>117</v>
      </c>
      <c r="J92" s="5">
        <f>J90-J91</f>
        <v>37262805.700000048</v>
      </c>
      <c r="K92" s="5"/>
      <c r="L92" s="67">
        <f>J92/J90</f>
        <v>5.1915208484033103E-2</v>
      </c>
    </row>
    <row r="93" spans="1:13" s="3" customFormat="1" x14ac:dyDescent="0.3">
      <c r="A93" s="37"/>
      <c r="B93" s="61" t="s">
        <v>118</v>
      </c>
      <c r="C93" s="2"/>
      <c r="D93" s="62"/>
      <c r="E93" s="63" t="s">
        <v>119</v>
      </c>
      <c r="F93" s="68">
        <v>62500</v>
      </c>
      <c r="G93" s="4"/>
      <c r="H93" s="5"/>
      <c r="I93" s="65" t="s">
        <v>120</v>
      </c>
      <c r="J93" s="5">
        <f>J92/F87</f>
        <v>6093.5925122811213</v>
      </c>
      <c r="K93" s="5"/>
      <c r="L93" s="67"/>
    </row>
    <row r="94" spans="1:13" s="3" customFormat="1" x14ac:dyDescent="0.3">
      <c r="A94" s="37"/>
      <c r="B94" s="16"/>
      <c r="C94" s="69"/>
      <c r="D94" s="62"/>
      <c r="E94" s="2"/>
      <c r="G94" s="4"/>
      <c r="H94" s="5"/>
      <c r="I94" s="65" t="s">
        <v>121</v>
      </c>
      <c r="J94" s="68">
        <v>3000</v>
      </c>
      <c r="K94" s="5">
        <f>J94*F87</f>
        <v>18345240.000000004</v>
      </c>
      <c r="L94" s="67">
        <f>K94/J90</f>
        <v>2.5558917032638327E-2</v>
      </c>
    </row>
    <row r="95" spans="1:13" s="3" customFormat="1" ht="15.6" thickBot="1" x14ac:dyDescent="0.35">
      <c r="A95" s="70"/>
      <c r="B95" s="71"/>
      <c r="C95" s="69"/>
      <c r="D95" s="72"/>
      <c r="E95" s="73"/>
      <c r="F95" s="74"/>
      <c r="G95" s="75"/>
      <c r="H95" s="76"/>
      <c r="I95" s="77" t="s">
        <v>122</v>
      </c>
      <c r="J95" s="76">
        <f>J93-J94</f>
        <v>3093.5925122811213</v>
      </c>
      <c r="K95" s="76">
        <f>J92-K94</f>
        <v>18917565.700000044</v>
      </c>
      <c r="L95" s="78">
        <f>K95/J90</f>
        <v>2.635629145139478E-2</v>
      </c>
    </row>
    <row r="97" spans="6:13" x14ac:dyDescent="0.3">
      <c r="G97" s="79"/>
      <c r="H97" s="80"/>
      <c r="J97" s="81">
        <v>658737500</v>
      </c>
      <c r="K97" s="81"/>
      <c r="L97" s="4"/>
    </row>
    <row r="98" spans="6:13" x14ac:dyDescent="0.3">
      <c r="F98" s="3">
        <v>1100</v>
      </c>
      <c r="G98" s="81">
        <v>51000</v>
      </c>
      <c r="H98" s="81">
        <f>G98*F98</f>
        <v>56100000</v>
      </c>
      <c r="J98" s="5">
        <f>J97/F91</f>
        <v>60501.239897134459</v>
      </c>
    </row>
    <row r="99" spans="6:13" x14ac:dyDescent="0.3">
      <c r="F99" s="3">
        <v>6072</v>
      </c>
      <c r="G99" s="81">
        <v>50000</v>
      </c>
      <c r="H99" s="81">
        <f>G99*F99</f>
        <v>303600000</v>
      </c>
      <c r="K99" s="80"/>
      <c r="M99" s="50"/>
    </row>
    <row r="100" spans="6:13" x14ac:dyDescent="0.3">
      <c r="H100" s="5">
        <f>SUM(H98:H99)</f>
        <v>359700000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LJP 20 - 15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MSI-SWM</dc:creator>
  <cp:lastModifiedBy>MSI-SWM</cp:lastModifiedBy>
  <dcterms:created xsi:type="dcterms:W3CDTF">2026-09-04T14:47:42Z</dcterms:created>
  <dcterms:modified xsi:type="dcterms:W3CDTF">2026-09-04T14:48:01Z</dcterms:modified>
</cp:coreProperties>
</file>